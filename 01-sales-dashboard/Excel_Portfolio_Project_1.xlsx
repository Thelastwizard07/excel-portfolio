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lil\Downloads\"/>
    </mc:Choice>
  </mc:AlternateContent>
  <xr:revisionPtr revIDLastSave="0" documentId="13_ncr:1_{7E748579-F0B6-48B7-A781-C63C1CE1E33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shboard" sheetId="4" r:id="rId1"/>
    <sheet name="Master" sheetId="5" r:id="rId2"/>
    <sheet name="Calculation" sheetId="3" r:id="rId3"/>
    <sheet name="Raw Data" sheetId="1" r:id="rId4"/>
  </sheets>
  <definedNames>
    <definedName name="_xlnm._FilterDatabase" localSheetId="1" hidden="1">Master!$E$1:$E$103</definedName>
    <definedName name="_xlnm._FilterDatabase" localSheetId="3" hidden="1">'Raw Data'!$A$1:$J$101</definedName>
  </definedNames>
  <calcPr calcId="191029"/>
</workbook>
</file>

<file path=xl/calcChain.xml><?xml version="1.0" encoding="utf-8"?>
<calcChain xmlns="http://schemas.openxmlformats.org/spreadsheetml/2006/main">
  <c r="F41" i="4" l="1"/>
  <c r="F42" i="4"/>
  <c r="F43" i="4"/>
  <c r="F44" i="4"/>
  <c r="F45" i="4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3"/>
  <c r="F27" i="3"/>
  <c r="B28" i="3"/>
  <c r="C28" i="3"/>
  <c r="D28" i="3"/>
  <c r="E28" i="3"/>
  <c r="F28" i="3"/>
  <c r="B29" i="3"/>
  <c r="C29" i="3"/>
  <c r="D29" i="3"/>
  <c r="E29" i="3"/>
  <c r="F29" i="3"/>
  <c r="B30" i="3"/>
  <c r="C30" i="3"/>
  <c r="D30" i="3"/>
  <c r="E30" i="3"/>
  <c r="F30" i="3"/>
  <c r="B31" i="3"/>
  <c r="C31" i="3"/>
  <c r="D31" i="3"/>
  <c r="E31" i="3"/>
  <c r="F31" i="3"/>
  <c r="B32" i="3"/>
  <c r="C32" i="3"/>
  <c r="D32" i="3"/>
  <c r="E32" i="3"/>
  <c r="F32" i="3"/>
  <c r="C24" i="3"/>
  <c r="D24" i="3"/>
  <c r="E24" i="3"/>
  <c r="F24" i="3"/>
  <c r="B24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I7" i="4"/>
  <c r="F7" i="4"/>
  <c r="C7" i="4"/>
  <c r="A7" i="4"/>
  <c r="L3" i="3"/>
  <c r="M3" i="3" s="1"/>
  <c r="M4" i="3"/>
  <c r="M5" i="3"/>
  <c r="M6" i="3"/>
  <c r="M7" i="3"/>
  <c r="K4" i="3"/>
  <c r="K5" i="3"/>
  <c r="K6" i="3"/>
  <c r="K7" i="3"/>
  <c r="K3" i="3"/>
  <c r="G15" i="3"/>
  <c r="G16" i="3"/>
  <c r="G17" i="3"/>
  <c r="G18" i="3"/>
  <c r="G19" i="3"/>
  <c r="F15" i="3"/>
  <c r="F20" i="3" s="1"/>
  <c r="F16" i="3"/>
  <c r="F17" i="3"/>
  <c r="F18" i="3"/>
  <c r="F19" i="3"/>
  <c r="E15" i="3"/>
  <c r="E20" i="3" s="1"/>
  <c r="E16" i="3"/>
  <c r="E17" i="3"/>
  <c r="E18" i="3"/>
  <c r="E19" i="3"/>
  <c r="D15" i="3"/>
  <c r="D16" i="3"/>
  <c r="D17" i="3"/>
  <c r="D18" i="3"/>
  <c r="D19" i="3"/>
  <c r="C15" i="3"/>
  <c r="C16" i="3"/>
  <c r="H16" i="3" s="1"/>
  <c r="C17" i="3"/>
  <c r="H17" i="3" s="1"/>
  <c r="C18" i="3"/>
  <c r="H18" i="3" s="1"/>
  <c r="C19" i="3"/>
  <c r="H19" i="3" s="1"/>
  <c r="B15" i="3"/>
  <c r="H15" i="3" s="1"/>
  <c r="B16" i="3"/>
  <c r="B17" i="3"/>
  <c r="B18" i="3"/>
  <c r="B19" i="3"/>
  <c r="G3" i="3"/>
  <c r="G4" i="3"/>
  <c r="G5" i="3"/>
  <c r="G6" i="3"/>
  <c r="G7" i="3"/>
  <c r="F3" i="3"/>
  <c r="F4" i="3"/>
  <c r="F5" i="3"/>
  <c r="F6" i="3"/>
  <c r="F7" i="3"/>
  <c r="E3" i="3"/>
  <c r="E4" i="3"/>
  <c r="E5" i="3"/>
  <c r="E6" i="3"/>
  <c r="E7" i="3"/>
  <c r="D3" i="3"/>
  <c r="D4" i="3"/>
  <c r="D5" i="3"/>
  <c r="D6" i="3"/>
  <c r="D7" i="3"/>
  <c r="C3" i="3"/>
  <c r="C4" i="3"/>
  <c r="C5" i="3"/>
  <c r="C6" i="3"/>
  <c r="C7" i="3"/>
  <c r="B3" i="3"/>
  <c r="B4" i="3"/>
  <c r="B5" i="3"/>
  <c r="B6" i="3"/>
  <c r="B7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G41" i="4" l="1"/>
  <c r="G42" i="4"/>
  <c r="G45" i="4"/>
  <c r="G43" i="4"/>
  <c r="G44" i="4"/>
  <c r="C20" i="3"/>
  <c r="B20" i="3"/>
  <c r="D20" i="3"/>
  <c r="J3" i="3"/>
  <c r="L4" i="3"/>
  <c r="J4" i="3"/>
  <c r="L5" i="3"/>
  <c r="J5" i="3"/>
  <c r="J6" i="3"/>
  <c r="L6" i="3"/>
  <c r="L7" i="3"/>
  <c r="J7" i="3"/>
  <c r="G20" i="3"/>
  <c r="G8" i="3"/>
  <c r="F8" i="3"/>
  <c r="E8" i="3"/>
  <c r="D8" i="3"/>
  <c r="C8" i="3"/>
  <c r="B8" i="3"/>
</calcChain>
</file>

<file path=xl/sharedStrings.xml><?xml version="1.0" encoding="utf-8"?>
<sst xmlns="http://schemas.openxmlformats.org/spreadsheetml/2006/main" count="512" uniqueCount="67">
  <si>
    <t>No</t>
  </si>
  <si>
    <t>Tanggal</t>
  </si>
  <si>
    <t>Nama Sales</t>
  </si>
  <si>
    <t>Produk</t>
  </si>
  <si>
    <t>Kategori</t>
  </si>
  <si>
    <t>Kota</t>
  </si>
  <si>
    <t>Qty</t>
  </si>
  <si>
    <t>Harga</t>
  </si>
  <si>
    <t>Diskon</t>
  </si>
  <si>
    <t>Total</t>
  </si>
  <si>
    <t>Andi</t>
  </si>
  <si>
    <t>Monitor 24</t>
  </si>
  <si>
    <t>Monitor</t>
  </si>
  <si>
    <t>Bekasi</t>
  </si>
  <si>
    <t>Fajar</t>
  </si>
  <si>
    <t>Tablet T1</t>
  </si>
  <si>
    <t>Tablet</t>
  </si>
  <si>
    <t>Jakarta</t>
  </si>
  <si>
    <t>Budi</t>
  </si>
  <si>
    <t>Keyboard K1</t>
  </si>
  <si>
    <t>Accessories</t>
  </si>
  <si>
    <t>Bogor</t>
  </si>
  <si>
    <t>Printer P2</t>
  </si>
  <si>
    <t>Printer</t>
  </si>
  <si>
    <t>Citra</t>
  </si>
  <si>
    <t>Deni</t>
  </si>
  <si>
    <t>Laptop B</t>
  </si>
  <si>
    <t>Laptop</t>
  </si>
  <si>
    <t>Depok</t>
  </si>
  <si>
    <t>Tablet T2</t>
  </si>
  <si>
    <t>Monitor 27</t>
  </si>
  <si>
    <t>Tangerang</t>
  </si>
  <si>
    <t>Bandung</t>
  </si>
  <si>
    <t>Eka</t>
  </si>
  <si>
    <t>Printer P1</t>
  </si>
  <si>
    <t>Mouse M1</t>
  </si>
  <si>
    <t>Laptop A</t>
  </si>
  <si>
    <t>Nama Barang</t>
  </si>
  <si>
    <t>Qty Penjualan Tertinggi</t>
  </si>
  <si>
    <t>Qty Penjualan Terendah</t>
  </si>
  <si>
    <t>Kota dengan penjualan Tertinggi</t>
  </si>
  <si>
    <t>Kota dengan Penjualan Terendah</t>
  </si>
  <si>
    <t>SALES PERFORMANCE DASHBOARD</t>
  </si>
  <si>
    <t>January - September 2026</t>
  </si>
  <si>
    <t>TOTAL SALES</t>
  </si>
  <si>
    <t>NO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</si>
  <si>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</si>
  <si>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</si>
  <si>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</si>
  <si>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</si>
  <si>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</si>
  <si>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</si>
  <si>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</si>
  <si>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</si>
  <si>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</si>
  <si>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</si>
  <si>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</si>
  <si>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</si>
  <si>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</si>
  <si>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Penjualan Per Produk</t>
  </si>
  <si>
    <t>Total Penjualan</t>
  </si>
  <si>
    <t>Ranking</t>
  </si>
  <si>
    <t>RATA-RATA TRANSAKSI</t>
  </si>
  <si>
    <t>JUMLAH TRANSAKSI</t>
  </si>
  <si>
    <t>JUMLAH PRODUK TERJUAL</t>
  </si>
  <si>
    <t>Helper Column</t>
  </si>
  <si>
    <t>Kategori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</si>
</sst>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9" formatCode="_-&quot;Rp&quot;* #,##0_-;\-&quot;Rp&quot;* #,##0_-;_-&quot;Rp&quot;* &quot;-&quot;??_-;_-@_-"/>
    <numFmt numFmtId="171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0" xfId="0" applyNumberFormat="1"/>
    <xf numFmtId="3" fontId="0" fillId="0" borderId="0" xfId="0" applyNumberFormat="1"/>
    <xf numFmtId="9" fontId="0" fillId="0" borderId="0" xfId="0" applyNumberFormat="1"/>
    <xf numFmtId="3" fontId="1" fillId="0" borderId="1" xfId="0" applyNumberFormat="1" applyFont="1" applyBorder="1" applyAlignment="1">
      <alignment horizontal="center"/>
    </xf>
    <xf numFmtId="0" fontId="0" fillId="4" borderId="2" xfId="0" applyFont="1" applyFill="1" applyBorder="1"/>
    <xf numFmtId="0" fontId="0" fillId="0" borderId="0" xfId="0" applyBorder="1"/>
    <xf numFmtId="0" fontId="0" fillId="3" borderId="2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0" xfId="0" applyFill="1"/>
    <xf numFmtId="42" fontId="0" fillId="0" borderId="1" xfId="0" applyNumberFormat="1" applyBorder="1"/>
    <xf numFmtId="44" fontId="0" fillId="0" borderId="0" xfId="0" applyNumberFormat="1"/>
    <xf numFmtId="0" fontId="0" fillId="0" borderId="4" xfId="0" applyBorder="1" applyAlignment="1">
      <alignment horizontal="left"/>
    </xf>
    <xf numFmtId="42" fontId="0" fillId="0" borderId="5" xfId="0" applyNumberFormat="1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left"/>
    </xf>
    <xf numFmtId="42" fontId="0" fillId="0" borderId="10" xfId="0" applyNumberFormat="1" applyBorder="1"/>
    <xf numFmtId="42" fontId="0" fillId="0" borderId="11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9" fontId="0" fillId="0" borderId="0" xfId="0" applyNumberFormat="1"/>
    <xf numFmtId="16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3" xfId="0" applyFont="1" applyFill="1" applyBorder="1"/>
    <xf numFmtId="169" fontId="0" fillId="3" borderId="3" xfId="0" applyNumberFormat="1" applyFont="1" applyFill="1" applyBorder="1"/>
    <xf numFmtId="169" fontId="0" fillId="4" borderId="2" xfId="0" applyNumberFormat="1" applyFont="1" applyFill="1" applyBorder="1"/>
    <xf numFmtId="169" fontId="0" fillId="3" borderId="2" xfId="0" applyNumberFormat="1" applyFont="1" applyFill="1" applyBorder="1"/>
    <xf numFmtId="0" fontId="2" fillId="2" borderId="16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171" fontId="0" fillId="0" borderId="8" xfId="0" applyNumberFormat="1" applyBorder="1" applyAlignment="1">
      <alignment horizontal="center"/>
    </xf>
    <xf numFmtId="171" fontId="0" fillId="0" borderId="6" xfId="0" applyNumberFormat="1" applyBorder="1" applyAlignment="1">
      <alignment horizontal="center"/>
    </xf>
    <xf numFmtId="171" fontId="0" fillId="0" borderId="15" xfId="0" applyNumberForma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38"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-&quot;Rp&quot;* #,##0.00_-;\-&quot;Rp&quot;* #,##0.0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169" formatCode="_-&quot;Rp&quot;* #,##0_-;\-&quot;Rp&quot;* #,##0_-;_-&quot;Rp&quot;* &quot;-&quot;??_-;_-@_-"/>
    </dxf>
    <dxf>
      <numFmt numFmtId="32" formatCode="_-&quot;Rp&quot;* #,##0_-;\-&quot;Rp&quot;* #,##0_-;_-&quot;Rp&quot;* &quot;-&quot;_-;_-@_-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2" formatCode="_-&quot;Rp&quot;* #,##0_-;\-&quot;Rp&quot;* #,##0_-;_-&quot;Rp&quot;* &quot;-&quot;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2" formatCode="_-&quot;Rp&quot;* #,##0_-;\-&quot;Rp&quot;* #,##0_-;_-&quot;Rp&quot;* &quot;-&quot;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2" formatCode="_-&quot;Rp&quot;* #,##0_-;\-&quot;Rp&quot;* #,##0_-;_-&quot;Rp&quot;* &quot;-&quot;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2" formatCode="_-&quot;Rp&quot;* #,##0_-;\-&quot;Rp&quot;* #,##0_-;_-&quot;Rp&quot;* &quot;-&quot;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Penjualan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Calculation!$B$23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Calculation!$A$24:$A$32</c:f>
              <c:strCache>
                <c:ptCount val="9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</c:strCache>
            </c:strRef>
          </c:cat>
          <c:val>
            <c:numRef>
              <c:f>Calculation!$B$24:$B$32</c:f>
              <c:numCache>
                <c:formatCode>_("Rp"* #,##0_);_("Rp"* \(#,##0\);_("Rp"* "-"_);_(@_)</c:formatCode>
                <c:ptCount val="9"/>
                <c:pt idx="0">
                  <c:v>4482500</c:v>
                </c:pt>
                <c:pt idx="1">
                  <c:v>4232500</c:v>
                </c:pt>
                <c:pt idx="2">
                  <c:v>4161000</c:v>
                </c:pt>
                <c:pt idx="3">
                  <c:v>856000</c:v>
                </c:pt>
                <c:pt idx="4">
                  <c:v>0</c:v>
                </c:pt>
                <c:pt idx="5">
                  <c:v>6219200</c:v>
                </c:pt>
                <c:pt idx="6">
                  <c:v>4545450</c:v>
                </c:pt>
                <c:pt idx="7">
                  <c:v>5558850</c:v>
                </c:pt>
                <c:pt idx="8">
                  <c:v>1575000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C-4D6A-820F-68F6E7F51764}"/>
            </c:ext>
          </c:extLst>
        </c:ser>
        <c:ser>
          <c:idx val="1"/>
          <c:order val="1"/>
          <c:tx>
            <c:strRef>
              <c:f>Calculation!$C$23</c:f>
              <c:strCache>
                <c:ptCount val="1"/>
                <c:pt idx="0">
                  <c:v>Laptop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Calculation!$A$24:$A$32</c:f>
              <c:strCache>
                <c:ptCount val="9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</c:strCache>
            </c:strRef>
          </c:cat>
          <c:val>
            <c:numRef>
              <c:f>Calculation!$C$24:$C$32</c:f>
              <c:numCache>
                <c:formatCode>_("Rp"* #,##0_);_("Rp"* \(#,##0\);_("Rp"* "-"_);_(@_)</c:formatCode>
                <c:ptCount val="9"/>
                <c:pt idx="0">
                  <c:v>0</c:v>
                </c:pt>
                <c:pt idx="1">
                  <c:v>77615000</c:v>
                </c:pt>
                <c:pt idx="2">
                  <c:v>115181250</c:v>
                </c:pt>
                <c:pt idx="3">
                  <c:v>93765000</c:v>
                </c:pt>
                <c:pt idx="4">
                  <c:v>155325000</c:v>
                </c:pt>
                <c:pt idx="5">
                  <c:v>29350000</c:v>
                </c:pt>
                <c:pt idx="6">
                  <c:v>76712500</c:v>
                </c:pt>
                <c:pt idx="7">
                  <c:v>19475000</c:v>
                </c:pt>
                <c:pt idx="8">
                  <c:v>73150000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FC-4D6A-820F-68F6E7F51764}"/>
            </c:ext>
          </c:extLst>
        </c:ser>
        <c:ser>
          <c:idx val="2"/>
          <c:order val="2"/>
          <c:tx>
            <c:strRef>
              <c:f>Calculation!$D$23</c:f>
              <c:strCache>
                <c:ptCount val="1"/>
                <c:pt idx="0">
                  <c:v>Monitor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Calculation!$A$24:$A$32</c:f>
              <c:strCache>
                <c:ptCount val="9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</c:strCache>
            </c:strRef>
          </c:cat>
          <c:val>
            <c:numRef>
              <c:f>Calculation!$D$24:$D$32</c:f>
              <c:numCache>
                <c:formatCode>_("Rp"* #,##0_);_("Rp"* \(#,##0\);_("Rp"* "-"_);_(@_)</c:formatCode>
                <c:ptCount val="9"/>
                <c:pt idx="0">
                  <c:v>40848000</c:v>
                </c:pt>
                <c:pt idx="1">
                  <c:v>31775000</c:v>
                </c:pt>
                <c:pt idx="2">
                  <c:v>10473750</c:v>
                </c:pt>
                <c:pt idx="3">
                  <c:v>40597000</c:v>
                </c:pt>
                <c:pt idx="4">
                  <c:v>32161500</c:v>
                </c:pt>
                <c:pt idx="5">
                  <c:v>5985000</c:v>
                </c:pt>
                <c:pt idx="6">
                  <c:v>5985000</c:v>
                </c:pt>
                <c:pt idx="7">
                  <c:v>59601750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FC-4D6A-820F-68F6E7F51764}"/>
            </c:ext>
          </c:extLst>
        </c:ser>
        <c:ser>
          <c:idx val="3"/>
          <c:order val="3"/>
          <c:tx>
            <c:strRef>
              <c:f>Calculation!$E$23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Calculation!$A$24:$A$32</c:f>
              <c:strCache>
                <c:ptCount val="9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</c:strCache>
            </c:strRef>
          </c:cat>
          <c:val>
            <c:numRef>
              <c:f>Calculation!$E$24:$E$32</c:f>
              <c:numCache>
                <c:formatCode>_("Rp"* #,##0_);_("Rp"* \(#,##0\);_("Rp"* "-"_);_(@_)</c:formatCode>
                <c:ptCount val="9"/>
                <c:pt idx="0">
                  <c:v>14305500</c:v>
                </c:pt>
                <c:pt idx="1">
                  <c:v>6885000</c:v>
                </c:pt>
                <c:pt idx="2">
                  <c:v>28971000</c:v>
                </c:pt>
                <c:pt idx="3">
                  <c:v>22572000</c:v>
                </c:pt>
                <c:pt idx="4">
                  <c:v>62559000</c:v>
                </c:pt>
                <c:pt idx="5">
                  <c:v>27445500</c:v>
                </c:pt>
                <c:pt idx="6">
                  <c:v>5130000</c:v>
                </c:pt>
                <c:pt idx="7">
                  <c:v>17100000</c:v>
                </c:pt>
                <c:pt idx="8">
                  <c:v>27180000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FC-4D6A-820F-68F6E7F51764}"/>
            </c:ext>
          </c:extLst>
        </c:ser>
        <c:ser>
          <c:idx val="4"/>
          <c:order val="4"/>
          <c:tx>
            <c:strRef>
              <c:f>Calculation!$F$23</c:f>
              <c:strCache>
                <c:ptCount val="1"/>
                <c:pt idx="0">
                  <c:v>Tablet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Calculation!$A$24:$A$32</c:f>
              <c:strCache>
                <c:ptCount val="9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</c:strCache>
            </c:strRef>
          </c:cat>
          <c:val>
            <c:numRef>
              <c:f>Calculation!$F$24:$F$32</c:f>
              <c:numCache>
                <c:formatCode>_("Rp"* #,##0_);_("Rp"* \(#,##0\);_("Rp"* "-"_);_(@_)</c:formatCode>
                <c:ptCount val="9"/>
                <c:pt idx="0">
                  <c:v>4683500</c:v>
                </c:pt>
                <c:pt idx="1">
                  <c:v>57510000</c:v>
                </c:pt>
                <c:pt idx="2">
                  <c:v>45360000</c:v>
                </c:pt>
                <c:pt idx="3">
                  <c:v>22040000</c:v>
                </c:pt>
                <c:pt idx="4">
                  <c:v>62640000</c:v>
                </c:pt>
                <c:pt idx="5">
                  <c:v>63607000</c:v>
                </c:pt>
                <c:pt idx="6">
                  <c:v>17640000</c:v>
                </c:pt>
                <c:pt idx="7">
                  <c:v>68400000</c:v>
                </c:pt>
                <c:pt idx="8">
                  <c:v>39900000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FC-4D6A-820F-68F6E7F5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284608"/>
        <c:axId val="1518380528"/>
      </c:lineChart>
      <c:catAx>
        <c:axId val="15172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80528"/>
        <c:crosses val="autoZero"/>
        <c:auto val="1"/>
        <c:lblAlgn val="ctr"/>
        <c:lblOffset val="100"/>
        <c:noMultiLvlLbl val="0"/>
      </c:catAx>
      <c:valAx>
        <c:axId val="151838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_);_(&quot;Rp&quot;* \(#,##0\);_(&quot;Rp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8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83136482939632"/>
          <c:y val="0.23069057060257336"/>
          <c:w val="0.7126270778652668"/>
          <c:h val="0.70806012024393672"/>
        </c:manualLayout>
      </c:layout>
      <c:barChart>
        <c:barDir val="bar"/>
        <c:grouping val="clustered"/>
        <c:varyColors val="0"/>
        <c:ser>
          <c:idx val="6"/>
          <c:order val="6"/>
          <c:tx>
            <c:strRef>
              <c:f>Calculation!$H$14</c:f>
              <c:strCache>
                <c:ptCount val="1"/>
                <c:pt idx="0">
                  <c:v>Total Penjualan Per Produk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Calculation!$A$15:$A$19</c:f>
              <c:strCache>
                <c:ptCount val="5"/>
                <c:pt idx="0">
                  <c:v>Monitor</c:v>
                </c:pt>
                <c:pt idx="1">
                  <c:v>Tablet</c:v>
                </c:pt>
                <c:pt idx="2">
                  <c:v>Accessories</c:v>
                </c:pt>
                <c:pt idx="3">
                  <c:v>Printer</c:v>
                </c:pt>
                <c:pt idx="4">
                  <c:v>Laptop</c:v>
                </c:pt>
              </c:strCache>
            </c:strRef>
          </c:cat>
          <c:val>
            <c:numRef>
              <c:f>Calculation!$H$15:$H$19</c:f>
              <c:numCache>
                <c:formatCode>_-"Rp"* #,##0_-;\-"Rp"* #,##0_-;_-"Rp"* "-"??_-;_-@_-</c:formatCode>
                <c:ptCount val="5"/>
                <c:pt idx="0">
                  <c:v>227427000</c:v>
                </c:pt>
                <c:pt idx="1">
                  <c:v>381780500</c:v>
                </c:pt>
                <c:pt idx="2">
                  <c:v>31630500</c:v>
                </c:pt>
                <c:pt idx="3">
                  <c:v>212148000</c:v>
                </c:pt>
                <c:pt idx="4">
                  <c:v>640573750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9-40EA-B058-9ADCE005D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4554720"/>
        <c:axId val="15183584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Calculation!$B$14</c15:sqref>
                        </c15:formulaRef>
                      </c:ext>
                    </c:extLst>
                    <c:strCache>
                      <c:ptCount val="1"/>
                      <c:pt idx="0">
                        <c:v> Bandung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Calculation!$A$15:$A$19</c15:sqref>
                        </c15:formulaRef>
                      </c:ext>
                    </c:extLst>
                    <c:strCache>
                      <c:ptCount val="5"/>
                      <c:pt idx="0">
                        <c:v>Monitor</c:v>
                      </c:pt>
                      <c:pt idx="1">
                        <c:v>Tablet</c:v>
                      </c:pt>
                      <c:pt idx="2">
                        <c:v>Accessories</c:v>
                      </c:pt>
                      <c:pt idx="3">
                        <c:v>Printer</c:v>
                      </c:pt>
                      <c:pt idx="4">
                        <c:v>Laptop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Calculation!$B$15:$B$19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5"/>
                      <c:pt idx="0">
                        <c:v>0</c:v>
                      </c:pt>
                      <c:pt idx="1">
                        <c:v>123247000</c:v>
                      </c:pt>
                      <c:pt idx="2">
                        <c:v>2776100</c:v>
                      </c:pt>
                      <c:pt idx="3">
                        <c:v>10260000</c:v>
                      </c:pt>
                      <c:pt idx="4">
                        <c:v>163875000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C79-40EA-B058-9ADCE005D48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Calculation!$C$14</c15:sqref>
                        </c15:formulaRef>
                      </c:ext>
                    </c:extLst>
                    <c:strCache>
                      <c:ptCount val="1"/>
                      <c:pt idx="0">
                        <c:v> Bekasi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Calculation!$A$15:$A$19</c15:sqref>
                        </c15:formulaRef>
                      </c:ext>
                    </c:extLst>
                    <c:strCache>
                      <c:ptCount val="5"/>
                      <c:pt idx="0">
                        <c:v>Monitor</c:v>
                      </c:pt>
                      <c:pt idx="1">
                        <c:v>Tablet</c:v>
                      </c:pt>
                      <c:pt idx="2">
                        <c:v>Accessories</c:v>
                      </c:pt>
                      <c:pt idx="3">
                        <c:v>Printer</c:v>
                      </c:pt>
                      <c:pt idx="4">
                        <c:v>Laptop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Calculation!$C$15:$C$19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5"/>
                      <c:pt idx="0">
                        <c:v>99823000</c:v>
                      </c:pt>
                      <c:pt idx="1">
                        <c:v>72860000</c:v>
                      </c:pt>
                      <c:pt idx="2">
                        <c:v>9782500</c:v>
                      </c:pt>
                      <c:pt idx="3">
                        <c:v>42579000</c:v>
                      </c:pt>
                      <c:pt idx="4">
                        <c:v>18952500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C79-40EA-B058-9ADCE005D4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Calculation!$D$14</c15:sqref>
                        </c15:formulaRef>
                      </c:ext>
                    </c:extLst>
                    <c:strCache>
                      <c:ptCount val="1"/>
                      <c:pt idx="0">
                        <c:v> Bogor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Calculation!$A$15:$A$19</c15:sqref>
                        </c15:formulaRef>
                      </c:ext>
                    </c:extLst>
                    <c:strCache>
                      <c:ptCount val="5"/>
                      <c:pt idx="0">
                        <c:v>Monitor</c:v>
                      </c:pt>
                      <c:pt idx="1">
                        <c:v>Tablet</c:v>
                      </c:pt>
                      <c:pt idx="2">
                        <c:v>Accessories</c:v>
                      </c:pt>
                      <c:pt idx="3">
                        <c:v>Printer</c:v>
                      </c:pt>
                      <c:pt idx="4">
                        <c:v>Laptop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Calculation!$D$15:$D$19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5"/>
                      <c:pt idx="0">
                        <c:v>25084500</c:v>
                      </c:pt>
                      <c:pt idx="1">
                        <c:v>55443500</c:v>
                      </c:pt>
                      <c:pt idx="2">
                        <c:v>2169000</c:v>
                      </c:pt>
                      <c:pt idx="3">
                        <c:v>30721500</c:v>
                      </c:pt>
                      <c:pt idx="4">
                        <c:v>52197500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C79-40EA-B058-9ADCE005D48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Calculation!$E$14</c15:sqref>
                        </c15:formulaRef>
                      </c:ext>
                    </c:extLst>
                    <c:strCache>
                      <c:ptCount val="1"/>
                      <c:pt idx="0">
                        <c:v> Depok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Calculation!$A$15:$A$19</c15:sqref>
                        </c15:formulaRef>
                      </c:ext>
                    </c:extLst>
                    <c:strCache>
                      <c:ptCount val="5"/>
                      <c:pt idx="0">
                        <c:v>Monitor</c:v>
                      </c:pt>
                      <c:pt idx="1">
                        <c:v>Tablet</c:v>
                      </c:pt>
                      <c:pt idx="2">
                        <c:v>Accessories</c:v>
                      </c:pt>
                      <c:pt idx="3">
                        <c:v>Printer</c:v>
                      </c:pt>
                      <c:pt idx="4">
                        <c:v>Laptop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Calculation!$E$15:$E$19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5"/>
                      <c:pt idx="0">
                        <c:v>15361500</c:v>
                      </c:pt>
                      <c:pt idx="1">
                        <c:v>30020000</c:v>
                      </c:pt>
                      <c:pt idx="2">
                        <c:v>4794800</c:v>
                      </c:pt>
                      <c:pt idx="3">
                        <c:v>29839500</c:v>
                      </c:pt>
                      <c:pt idx="4">
                        <c:v>199517500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C79-40EA-B058-9ADCE005D48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Calculation!$F$14</c15:sqref>
                        </c15:formulaRef>
                      </c:ext>
                    </c:extLst>
                    <c:strCache>
                      <c:ptCount val="1"/>
                      <c:pt idx="0">
                        <c:v> Jakarta 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Calculation!$A$15:$A$19</c15:sqref>
                        </c15:formulaRef>
                      </c:ext>
                    </c:extLst>
                    <c:strCache>
                      <c:ptCount val="5"/>
                      <c:pt idx="0">
                        <c:v>Monitor</c:v>
                      </c:pt>
                      <c:pt idx="1">
                        <c:v>Tablet</c:v>
                      </c:pt>
                      <c:pt idx="2">
                        <c:v>Accessories</c:v>
                      </c:pt>
                      <c:pt idx="3">
                        <c:v>Printer</c:v>
                      </c:pt>
                      <c:pt idx="4">
                        <c:v>Laptop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Calculation!$F$15:$F$19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5"/>
                      <c:pt idx="0">
                        <c:v>63218000</c:v>
                      </c:pt>
                      <c:pt idx="1">
                        <c:v>59610000</c:v>
                      </c:pt>
                      <c:pt idx="2">
                        <c:v>5001600</c:v>
                      </c:pt>
                      <c:pt idx="3">
                        <c:v>36801000</c:v>
                      </c:pt>
                      <c:pt idx="4">
                        <c:v>72200000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C79-40EA-B058-9ADCE005D4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Calculation!$G$14</c15:sqref>
                        </c15:formulaRef>
                      </c:ext>
                    </c:extLst>
                    <c:strCache>
                      <c:ptCount val="1"/>
                      <c:pt idx="0">
                        <c:v> Tangerang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Calculation!$A$15:$A$19</c15:sqref>
                        </c15:formulaRef>
                      </c:ext>
                    </c:extLst>
                    <c:strCache>
                      <c:ptCount val="5"/>
                      <c:pt idx="0">
                        <c:v>Monitor</c:v>
                      </c:pt>
                      <c:pt idx="1">
                        <c:v>Tablet</c:v>
                      </c:pt>
                      <c:pt idx="2">
                        <c:v>Accessories</c:v>
                      </c:pt>
                      <c:pt idx="3">
                        <c:v>Printer</c:v>
                      </c:pt>
                      <c:pt idx="4">
                        <c:v>Laptop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Calculation!$G$15:$G$19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5"/>
                      <c:pt idx="0">
                        <c:v>23940000</c:v>
                      </c:pt>
                      <c:pt idx="1">
                        <c:v>40600000</c:v>
                      </c:pt>
                      <c:pt idx="2">
                        <c:v>7106500</c:v>
                      </c:pt>
                      <c:pt idx="3">
                        <c:v>61947000</c:v>
                      </c:pt>
                      <c:pt idx="4">
                        <c:v>133831250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6C79-40EA-B058-9ADCE005D48B}"/>
                  </c:ext>
                </c:extLst>
              </c15:ser>
            </c15:filteredBarSeries>
          </c:ext>
        </c:extLst>
      </c:barChart>
      <c:catAx>
        <c:axId val="1694554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58448"/>
        <c:crosses val="autoZero"/>
        <c:auto val="1"/>
        <c:lblAlgn val="ctr"/>
        <c:lblOffset val="100"/>
        <c:noMultiLvlLbl val="0"/>
      </c:catAx>
      <c:valAx>
        <c:axId val="15183584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crossAx val="16945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Penjualan Per</a:t>
            </a:r>
            <a:r>
              <a:rPr lang="en-ID" baseline="0"/>
              <a:t> Kota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Calculation!$B$14:$G$14</c:f>
              <c:strCache>
                <c:ptCount val="6"/>
                <c:pt idx="0">
                  <c:v> Bandung </c:v>
                </c:pt>
                <c:pt idx="1">
                  <c:v> Bekasi </c:v>
                </c:pt>
                <c:pt idx="2">
                  <c:v> Bogor </c:v>
                </c:pt>
                <c:pt idx="3">
                  <c:v> Depok </c:v>
                </c:pt>
                <c:pt idx="4">
                  <c:v> Jakarta </c:v>
                </c:pt>
                <c:pt idx="5">
                  <c:v> Tangerang </c:v>
                </c:pt>
              </c:strCache>
            </c:strRef>
          </c:cat>
          <c:val>
            <c:numRef>
              <c:f>Calculation!$B$20:$G$20</c:f>
              <c:numCache>
                <c:formatCode>_-"Rp"* #,##0_-;\-"Rp"* #,##0_-;_-"Rp"* "-"??_-;_-@_-</c:formatCode>
                <c:ptCount val="6"/>
                <c:pt idx="0">
                  <c:v>300158100</c:v>
                </c:pt>
                <c:pt idx="1">
                  <c:v>243997000</c:v>
                </c:pt>
                <c:pt idx="2">
                  <c:v>165616000</c:v>
                </c:pt>
                <c:pt idx="3">
                  <c:v>279533300</c:v>
                </c:pt>
                <c:pt idx="4">
                  <c:v>236830600</c:v>
                </c:pt>
                <c:pt idx="5">
                  <c:v>267424750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9-47B0-8C57-39EEBED3A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9037872"/>
        <c:axId val="15183771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Calculation!$B$14:$G$14</c15:sqref>
                        </c15:formulaRef>
                      </c:ext>
                    </c:extLst>
                    <c:strCache>
                      <c:ptCount val="6"/>
                      <c:pt idx="0">
                        <c:v> Bandung </c:v>
                      </c:pt>
                      <c:pt idx="1">
                        <c:v> Bekasi </c:v>
                      </c:pt>
                      <c:pt idx="2">
                        <c:v> Bogor </c:v>
                      </c:pt>
                      <c:pt idx="3">
                        <c:v> Depok </c:v>
                      </c:pt>
                      <c:pt idx="4">
                        <c:v> Jakarta </c:v>
                      </c:pt>
                      <c:pt idx="5">
                        <c:v> Tangerang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Calculation!$B$15:$G$15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6"/>
                      <c:pt idx="0">
                        <c:v>0</c:v>
                      </c:pt>
                      <c:pt idx="1">
                        <c:v>99823000</c:v>
                      </c:pt>
                      <c:pt idx="2">
                        <c:v>25084500</c:v>
                      </c:pt>
                      <c:pt idx="3">
                        <c:v>15361500</c:v>
                      </c:pt>
                      <c:pt idx="4">
                        <c:v>63218000</c:v>
                      </c:pt>
                      <c:pt idx="5">
                        <c:v>23940000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8D9-47B0-8C57-39EEBED3A3EB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Calculation!$B$14:$G$14</c15:sqref>
                        </c15:formulaRef>
                      </c:ext>
                    </c:extLst>
                    <c:strCache>
                      <c:ptCount val="6"/>
                      <c:pt idx="0">
                        <c:v> Bandung </c:v>
                      </c:pt>
                      <c:pt idx="1">
                        <c:v> Bekasi </c:v>
                      </c:pt>
                      <c:pt idx="2">
                        <c:v> Bogor </c:v>
                      </c:pt>
                      <c:pt idx="3">
                        <c:v> Depok </c:v>
                      </c:pt>
                      <c:pt idx="4">
                        <c:v> Jakarta </c:v>
                      </c:pt>
                      <c:pt idx="5">
                        <c:v> Tangerang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Calculation!$B$16:$G$16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6"/>
                      <c:pt idx="0">
                        <c:v>123247000</c:v>
                      </c:pt>
                      <c:pt idx="1">
                        <c:v>72860000</c:v>
                      </c:pt>
                      <c:pt idx="2">
                        <c:v>55443500</c:v>
                      </c:pt>
                      <c:pt idx="3">
                        <c:v>30020000</c:v>
                      </c:pt>
                      <c:pt idx="4">
                        <c:v>59610000</c:v>
                      </c:pt>
                      <c:pt idx="5">
                        <c:v>40600000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8D9-47B0-8C57-39EEBED3A3EB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Calculation!$B$14:$G$14</c15:sqref>
                        </c15:formulaRef>
                      </c:ext>
                    </c:extLst>
                    <c:strCache>
                      <c:ptCount val="6"/>
                      <c:pt idx="0">
                        <c:v> Bandung </c:v>
                      </c:pt>
                      <c:pt idx="1">
                        <c:v> Bekasi </c:v>
                      </c:pt>
                      <c:pt idx="2">
                        <c:v> Bogor </c:v>
                      </c:pt>
                      <c:pt idx="3">
                        <c:v> Depok </c:v>
                      </c:pt>
                      <c:pt idx="4">
                        <c:v> Jakarta </c:v>
                      </c:pt>
                      <c:pt idx="5">
                        <c:v> Tangerang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Calculation!$B$17:$G$17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6"/>
                      <c:pt idx="0">
                        <c:v>2776100</c:v>
                      </c:pt>
                      <c:pt idx="1">
                        <c:v>9782500</c:v>
                      </c:pt>
                      <c:pt idx="2">
                        <c:v>2169000</c:v>
                      </c:pt>
                      <c:pt idx="3">
                        <c:v>4794800</c:v>
                      </c:pt>
                      <c:pt idx="4">
                        <c:v>5001600</c:v>
                      </c:pt>
                      <c:pt idx="5">
                        <c:v>7106500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8D9-47B0-8C57-39EEBED3A3EB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Calculation!$B$14:$G$14</c15:sqref>
                        </c15:formulaRef>
                      </c:ext>
                    </c:extLst>
                    <c:strCache>
                      <c:ptCount val="6"/>
                      <c:pt idx="0">
                        <c:v> Bandung </c:v>
                      </c:pt>
                      <c:pt idx="1">
                        <c:v> Bekasi </c:v>
                      </c:pt>
                      <c:pt idx="2">
                        <c:v> Bogor </c:v>
                      </c:pt>
                      <c:pt idx="3">
                        <c:v> Depok </c:v>
                      </c:pt>
                      <c:pt idx="4">
                        <c:v> Jakarta </c:v>
                      </c:pt>
                      <c:pt idx="5">
                        <c:v> Tangerang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Calculation!$B$18:$G$18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6"/>
                      <c:pt idx="0">
                        <c:v>10260000</c:v>
                      </c:pt>
                      <c:pt idx="1">
                        <c:v>42579000</c:v>
                      </c:pt>
                      <c:pt idx="2">
                        <c:v>30721500</c:v>
                      </c:pt>
                      <c:pt idx="3">
                        <c:v>29839500</c:v>
                      </c:pt>
                      <c:pt idx="4">
                        <c:v>36801000</c:v>
                      </c:pt>
                      <c:pt idx="5">
                        <c:v>61947000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8D9-47B0-8C57-39EEBED3A3EB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Calculation!$B$14:$G$14</c15:sqref>
                        </c15:formulaRef>
                      </c:ext>
                    </c:extLst>
                    <c:strCache>
                      <c:ptCount val="6"/>
                      <c:pt idx="0">
                        <c:v> Bandung </c:v>
                      </c:pt>
                      <c:pt idx="1">
                        <c:v> Bekasi </c:v>
                      </c:pt>
                      <c:pt idx="2">
                        <c:v> Bogor </c:v>
                      </c:pt>
                      <c:pt idx="3">
                        <c:v> Depok </c:v>
                      </c:pt>
                      <c:pt idx="4">
                        <c:v> Jakarta </c:v>
                      </c:pt>
                      <c:pt idx="5">
                        <c:v> Tangerang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Calculation!$B$19:$G$19</c15:sqref>
                        </c15:formulaRef>
                      </c:ext>
                    </c:extLst>
                    <c:numCache>
                      <c:formatCode>_-"Rp"* #,##0_-;\-"Rp"* #,##0_-;_-"Rp"* "-"??_-;_-@_-</c:formatCode>
                      <c:ptCount val="6"/>
                      <c:pt idx="0">
                        <c:v>163875000</c:v>
                      </c:pt>
                      <c:pt idx="1">
                        <c:v>18952500</c:v>
                      </c:pt>
                      <c:pt idx="2">
                        <c:v>52197500</c:v>
                      </c:pt>
                      <c:pt idx="3">
                        <c:v>199517500</c:v>
                      </c:pt>
                      <c:pt idx="4">
                        <c:v>72200000</c:v>
                      </c:pt>
                      <c:pt idx="5">
                        <c:v>133831250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8D9-47B0-8C57-39EEBED3A3EB}"/>
                  </c:ext>
                </c:extLst>
              </c15:ser>
            </c15:filteredBarSeries>
          </c:ext>
        </c:extLst>
      </c:barChart>
      <c:catAx>
        <c:axId val="170903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77168"/>
        <c:crosses val="autoZero"/>
        <c:auto val="1"/>
        <c:lblAlgn val="ctr"/>
        <c:lblOffset val="100"/>
        <c:noMultiLvlLbl val="0"/>
      </c:catAx>
      <c:valAx>
        <c:axId val="1518377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crossAx val="170903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66678</xdr:colOff>
      <xdr:row>8</xdr:row>
      <xdr:rowOff>163285</xdr:rowOff>
    </xdr:from>
    <xdr:to>
      <xdr:col>10</xdr:col>
      <xdr:colOff>1311090</xdr:colOff>
      <xdr:row>24</xdr:row>
      <xdr:rowOff>122464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0F24D-D649-4CFC-9779-884D50511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44823</xdr:rowOff>
    </xdr:from>
    <xdr:to>
      <xdr:col>6</xdr:col>
      <xdr:colOff>123265</xdr:colOff>
      <xdr:row>37</xdr:row>
      <xdr:rowOff>78441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7E1D-52E7-43FA-86FF-B8C9478C2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493061</xdr:colOff>
      <xdr:row>25</xdr:row>
      <xdr:rowOff>100854</xdr:rowOff>
    </xdr:from>
    <xdr:to>
      <xdr:col>10</xdr:col>
      <xdr:colOff>1038788</xdr:colOff>
      <xdr:row>38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71D925-BE18-4CB7-87D5-B272189FA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571501</xdr:colOff>
      <xdr:row>2</xdr:row>
      <xdr:rowOff>156882</xdr:rowOff>
    </xdr:from>
    <xdr:to>
      <xdr:col>13</xdr:col>
      <xdr:colOff>571500</xdr:colOff>
      <xdr:row>2</xdr:row>
      <xdr:rowOff>168089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5EA2F04-3B31-0E74-052D-5CF2AA763969}"/>
            </a:ext>
          </a:extLst>
        </xdr:cNvPr>
        <xdr:cNvCxnSpPr/>
      </xdr:nvCxnSpPr>
      <xdr:spPr>
        <a:xfrm flipV="1">
          <a:off x="9099177" y="537882"/>
          <a:ext cx="1938617" cy="112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11206</xdr:colOff>
      <xdr:row>0</xdr:row>
      <xdr:rowOff>22411</xdr:rowOff>
    </xdr:from>
    <xdr:to>
      <xdr:col>10</xdr:col>
      <xdr:colOff>593912</xdr:colOff>
      <xdr:row>101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53FAC09-2890-2648-E89B-50AF78E68B82}"/>
            </a:ext>
          </a:extLst>
        </xdr:cNvPr>
        <xdr:cNvSpPr/>
      </xdr:nvSpPr>
      <xdr:spPr>
        <a:xfrm>
          <a:off x="8538882" y="22411"/>
          <a:ext cx="582706" cy="19218089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2EA4E4-A03A-4690-989F-42DD97C4D36B}" name="Table2" displayName="Table2" ref="A2:G8" totalsRowCount="1" headerRowDxfId="31">
  <autoFilter ref="A2:G7" xr:uid="{162EA4E4-A03A-4690-989F-42DD97C4D3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020101D-71AB-46CB-A292-CF93D793C9A7}" name="Kategori Produk" totalsRowLabel="Total"/>
    <tableColumn id="2" xr3:uid="{CBF975EB-E76F-4DED-A681-2A5BC5C0DC51}" name="Bandung" totalsRowFunction="sum" dataDxfId="37">
      <calculatedColumnFormula>SUMIFS('Raw Data'!$G:$G,'Raw Data'!$E:$E,Table2[Kategori Produk],'Raw Data'!$F:$F,Table2[[#Headers],[Bandung]])</calculatedColumnFormula>
    </tableColumn>
    <tableColumn id="3" xr3:uid="{EDCB1378-7E70-45AD-B2F6-A0F124518AF4}" name="Bekasi" totalsRowFunction="sum" dataDxfId="36">
      <calculatedColumnFormula>SUMIFS('Raw Data'!$G:$G,'Raw Data'!$E:$E,Table2[Kategori Produk],'Raw Data'!$F:$F,Table2[[#Headers],[Bekasi]])</calculatedColumnFormula>
    </tableColumn>
    <tableColumn id="4" xr3:uid="{B306E8C5-D9C4-4592-A809-1186A26452BB}" name="Bogor" totalsRowFunction="sum" dataDxfId="35">
      <calculatedColumnFormula>SUMIFS('Raw Data'!$G:$G,'Raw Data'!$E:$E,Table2[Kategori Produk],'Raw Data'!$F:$F,Table2[[#Headers],[Bogor]])</calculatedColumnFormula>
    </tableColumn>
    <tableColumn id="5" xr3:uid="{C2B6092B-E05B-4E5F-BF3F-43963730C4E0}" name="Depok" totalsRowFunction="sum" dataDxfId="34">
      <calculatedColumnFormula>SUMIFS('Raw Data'!$G:$G,'Raw Data'!$E:$E,Table2[Kategori Produk],'Raw Data'!$F:$F,Table2[[#Headers],[Depok]])</calculatedColumnFormula>
    </tableColumn>
    <tableColumn id="6" xr3:uid="{116D17A4-0950-406C-AB3E-A5EF50BAE9A0}" name="Jakarta" totalsRowFunction="sum" dataDxfId="33">
      <calculatedColumnFormula>SUMIFS('Raw Data'!$G:$G,'Raw Data'!$E:$E,Table2[Kategori Produk],'Raw Data'!$F:$F,Table2[[#Headers],[Jakarta]])</calculatedColumnFormula>
    </tableColumn>
    <tableColumn id="7" xr3:uid="{449364B0-BA26-4C73-93FA-C8AFFB7931FE}" name="Tangerang" totalsRowFunction="sum" dataDxfId="32">
      <calculatedColumnFormula>SUMIFS('Raw Data'!$G:$G,'Raw Data'!$E:$E,Table2[Kategori Produk],'Raw Data'!$F:$F,Table2[[#Headers],[Tangerang]])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4615E6-765E-4C48-8FE0-E657984B6F19}" name="Table3" displayName="Table3" ref="A14:H20" totalsRowCount="1" headerRowDxfId="30">
  <autoFilter ref="A14:H19" xr:uid="{2B4615E6-765E-4C48-8FE0-E657984B6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505F274-997E-4E5A-8693-D9FC25771E20}" name="Kategori Produk" totalsRowLabel="Total"/>
    <tableColumn id="2" xr3:uid="{0340C11A-59E2-4343-976C-FF3F8862AA8E}" name="Bandung" totalsRowFunction="sum" dataDxfId="13" totalsRowDxfId="14">
      <calculatedColumnFormula>SUMIFS('Raw Data'!$J:$J,'Raw Data'!$E:$E,Table3[Kategori Produk],'Raw Data'!$F:$F,Table3[[#Headers],[Bandung]])</calculatedColumnFormula>
    </tableColumn>
    <tableColumn id="3" xr3:uid="{82E11003-A7A2-46AC-9495-197519283797}" name="Bekasi" totalsRowFunction="sum" dataDxfId="11" totalsRowDxfId="12">
      <calculatedColumnFormula>SUMIFS('Raw Data'!$J:$J,'Raw Data'!$E:$E,Table3[Kategori Produk],'Raw Data'!$F:$F,Table3[[#Headers],[Bekasi]])</calculatedColumnFormula>
    </tableColumn>
    <tableColumn id="4" xr3:uid="{8EEE7689-270F-4B84-9E6F-8D336E0E79CF}" name="Bogor" totalsRowFunction="sum" dataDxfId="9" totalsRowDxfId="10">
      <calculatedColumnFormula>SUMIFS('Raw Data'!$J:$J,'Raw Data'!$E:$E,Table3[Kategori Produk],'Raw Data'!$F:$F,Table3[[#Headers],[Bogor]])</calculatedColumnFormula>
    </tableColumn>
    <tableColumn id="5" xr3:uid="{31BBEB52-0419-4EE6-8575-821D63B601DA}" name="Depok" totalsRowFunction="sum" dataDxfId="7" totalsRowDxfId="8">
      <calculatedColumnFormula>SUMIFS('Raw Data'!$J:$J,'Raw Data'!$E:$E,Table3[Kategori Produk],'Raw Data'!$F:$F,Table3[[#Headers],[Depok]])</calculatedColumnFormula>
    </tableColumn>
    <tableColumn id="6" xr3:uid="{B642F952-E578-4FC5-9B93-925801426616}" name="Jakarta" totalsRowFunction="sum" dataDxfId="5" totalsRowDxfId="6">
      <calculatedColumnFormula>SUMIFS('Raw Data'!$J:$J,'Raw Data'!$E:$E,Table3[Kategori Produk],'Raw Data'!$F:$F,Table3[[#Headers],[Jakarta]])</calculatedColumnFormula>
    </tableColumn>
    <tableColumn id="7" xr3:uid="{1D75BAD2-5F8B-44E3-BA4F-60FD3FDDB424}" name="Tangerang" totalsRowFunction="sum" dataDxfId="3" totalsRowDxfId="2">
      <calculatedColumnFormula>SUMIFS('Raw Data'!$J:$J,'Raw Data'!$E:$E,Table3[Kategori Produk],'Raw Data'!$F:$F,Table3[[#Headers],[Tangerang]])</calculatedColumnFormula>
    </tableColumn>
    <tableColumn id="8" xr3:uid="{378C3EAD-31F1-4D11-A096-B09C8196125D}" name="Total Penjualan Per Produk" dataDxfId="4" totalsRowDxfId="1">
      <calculatedColumnFormula>SUM(Table3[[#This Row],[Bandung]:[Tangerang]])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235733-CDD4-4BCB-AFBF-62AFEC4D0874}" name="Table4" displayName="Table4" ref="I2:M7" totalsRowShown="0" headerRowDxfId="24" dataDxfId="25">
  <autoFilter ref="I2:M7" xr:uid="{F8235733-CDD4-4BCB-AFBF-62AFEC4D0874}"/>
  <tableColumns count="5">
    <tableColumn id="1" xr3:uid="{77338F89-5D70-4C5F-8240-0AB4D17DA141}" name="Nama Barang"/>
    <tableColumn id="2" xr3:uid="{454CE4EF-788F-4203-A87A-986577FF214A}" name="Qty Penjualan Tertinggi" dataDxfId="29">
      <calculatedColumnFormula>MAX(Table2[[#This Row],[Bandung]:[Tangerang]])</calculatedColumnFormula>
    </tableColumn>
    <tableColumn id="3" xr3:uid="{35D1E552-A7C0-4AD7-ADA6-7027113AA075}" name="Kota dengan penjualan Tertinggi" dataDxfId="28">
      <calculatedColumnFormula>INDEX(Table2[[#Headers],[Bandung]:[Tangerang]],MATCH(J3,Table2[[#This Row],[Bandung]:[Tangerang]],0))</calculatedColumnFormula>
    </tableColumn>
    <tableColumn id="4" xr3:uid="{14E72FA7-5481-49DA-B7D3-1E79BF6353AD}" name="Qty Penjualan Terendah" dataDxfId="27">
      <calculatedColumnFormula>MIN(Table2[[#This Row],[Bandung]:[Tangerang]])</calculatedColumnFormula>
    </tableColumn>
    <tableColumn id="5" xr3:uid="{A7D668CB-DD44-44CE-99F8-EB373D74F472}" name="Kota dengan Penjualan Terendah" dataDxfId="26">
      <calculatedColumnFormula>INDEX(Table2[[#Headers],[Bandung]:[Tangerang]],MATCH(L3,Table2[[#This Row],[Bandung]:[Tangerang]],0))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39E6E2-4233-4A42-B55E-2F2E699E13C8}" name="Table5" displayName="Table5" ref="A23:F32" totalsRowShown="0" headerRowDxfId="0" headerRowBorderDxfId="22" tableBorderDxfId="23" totalsRowBorderDxfId="21">
  <autoFilter ref="A23:F32" xr:uid="{0F39E6E2-4233-4A42-B55E-2F2E699E1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3B68DA-B43E-42CB-9D2A-302E20F73063}" name="Bulan" dataDxfId="20"/>
    <tableColumn id="2" xr3:uid="{8E90B1E1-368F-4815-94BC-EF546407D2F7}" name="Accessories" dataDxfId="19">
      <calculatedColumnFormula>SUMIFS('Raw Data'!$J:$J,'Raw Data'!$K:$K,Calculation!$A24,'Raw Data'!$E:$E,Calculation!B$23)</calculatedColumnFormula>
    </tableColumn>
    <tableColumn id="3" xr3:uid="{A771964A-2476-4AD6-A4B3-C21D764DE9A8}" name="Laptop" dataDxfId="18">
      <calculatedColumnFormula>SUMIFS('Raw Data'!$J:$J,'Raw Data'!$K:$K,Calculation!$A24,'Raw Data'!$E:$E,Calculation!C$23)</calculatedColumnFormula>
    </tableColumn>
    <tableColumn id="4" xr3:uid="{92CCAD89-52B6-47AA-AFF3-7D29E178CD23}" name="Monitor" dataDxfId="17">
      <calculatedColumnFormula>SUMIFS('Raw Data'!$J:$J,'Raw Data'!$K:$K,Calculation!$A24,'Raw Data'!$E:$E,Calculation!D$23)</calculatedColumnFormula>
    </tableColumn>
    <tableColumn id="5" xr3:uid="{48203E9D-7E5A-426A-9830-9ABA6EEC9D44}" name="Printer" dataDxfId="16">
      <calculatedColumnFormula>SUMIFS('Raw Data'!$J:$J,'Raw Data'!$K:$K,Calculation!$A24,'Raw Data'!$E:$E,Calculation!E$23)</calculatedColumnFormula>
    </tableColumn>
    <tableColumn id="6" xr3:uid="{94B9921E-641C-4831-BEDF-442C3DF525E8}" name="Tablet" dataDxfId="15">
      <calculatedColumnFormula>SUMIFS('Raw Data'!$J:$J,'Raw Data'!$K:$K,Calculation!$A24,'Raw Data'!$E:$E,Calculation!F$23)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EBC5-34AB-4FDC-94EB-6253CB9F29BF}">
  <dimension ref="A3:K46"/>
  <sheetViews>
    <sheetView showGridLines="0" tabSelected="1" topLeftCell="A22" zoomScale="85" zoomScaleNormal="85" workbookViewId="0">
      <selection activeCell="L40" sqref="L40"/>
    </sheetView>
  </sheetViews>
  <sheetFormatPr defaultRowHeight="15" x14ac:dyDescent="0.25"/>
  <cols>
    <col min="1" max="1" width="14.7109375" customWidth="1"/>
    <col min="2" max="2" width="15.42578125" customWidth="1"/>
    <col min="3" max="3" width="5.140625" customWidth="1"/>
    <col min="4" max="4" width="12.28515625" customWidth="1"/>
    <col min="5" max="5" width="13.5703125" customWidth="1"/>
    <col min="6" max="6" width="16.140625" customWidth="1"/>
    <col min="7" max="7" width="14.7109375" customWidth="1"/>
    <col min="8" max="8" width="9" customWidth="1"/>
    <col min="9" max="9" width="6.28515625" customWidth="1"/>
    <col min="10" max="10" width="14.7109375" customWidth="1"/>
    <col min="11" max="11" width="15.85546875" customWidth="1"/>
  </cols>
  <sheetData>
    <row r="3" spans="1:11" x14ac:dyDescent="0.25">
      <c r="A3" s="32" t="s">
        <v>42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x14ac:dyDescent="0.25">
      <c r="A4" s="35" t="s">
        <v>43</v>
      </c>
      <c r="B4" s="36"/>
      <c r="C4" s="36"/>
      <c r="D4" s="36"/>
      <c r="E4" s="36"/>
      <c r="F4" s="36"/>
      <c r="G4" s="36"/>
      <c r="H4" s="36"/>
      <c r="I4" s="36"/>
      <c r="J4" s="36"/>
      <c r="K4" s="37"/>
    </row>
    <row r="5" spans="1:11" x14ac:dyDescent="0.25">
      <c r="A5" s="21"/>
      <c r="B5" s="27"/>
      <c r="C5" s="27"/>
      <c r="D5" s="27"/>
      <c r="E5" s="27"/>
      <c r="F5" s="27"/>
      <c r="G5" s="27"/>
      <c r="H5" s="27"/>
      <c r="I5" s="27"/>
      <c r="J5" s="27"/>
      <c r="K5" s="20"/>
    </row>
    <row r="6" spans="1:11" x14ac:dyDescent="0.25">
      <c r="A6" s="32" t="s">
        <v>44</v>
      </c>
      <c r="B6" s="34"/>
      <c r="C6" s="32" t="s">
        <v>63</v>
      </c>
      <c r="D6" s="33"/>
      <c r="E6" s="34"/>
      <c r="F6" s="32" t="s">
        <v>64</v>
      </c>
      <c r="G6" s="33"/>
      <c r="H6" s="34"/>
      <c r="I6" s="32" t="s">
        <v>62</v>
      </c>
      <c r="J6" s="33"/>
      <c r="K6" s="34"/>
    </row>
    <row r="7" spans="1:11" x14ac:dyDescent="0.25">
      <c r="A7" s="49">
        <f>SUM('Raw Data'!J:J)</f>
        <v>1493559750</v>
      </c>
      <c r="B7" s="50"/>
      <c r="C7" s="39">
        <f>COUNTA('Raw Data'!A2:A101)</f>
        <v>100</v>
      </c>
      <c r="D7" s="38"/>
      <c r="E7" s="40"/>
      <c r="F7" s="39">
        <f>SUM('Raw Data'!G2:G101)</f>
        <v>438</v>
      </c>
      <c r="G7" s="38"/>
      <c r="H7" s="40"/>
      <c r="I7" s="49">
        <f>AVERAGE('Raw Data'!J2:J101)</f>
        <v>14935597.5</v>
      </c>
      <c r="J7" s="51"/>
      <c r="K7" s="50"/>
    </row>
    <row r="8" spans="1:11" x14ac:dyDescent="0.25">
      <c r="A8" s="25"/>
      <c r="B8" s="7"/>
      <c r="C8" s="7"/>
      <c r="D8" s="7"/>
      <c r="E8" s="7"/>
      <c r="F8" s="7"/>
      <c r="G8" s="7"/>
      <c r="H8" s="7"/>
      <c r="I8" s="7"/>
      <c r="J8" s="7"/>
      <c r="K8" s="26"/>
    </row>
    <row r="9" spans="1:11" x14ac:dyDescent="0.25">
      <c r="A9" s="25"/>
      <c r="B9" s="7"/>
      <c r="C9" s="7"/>
      <c r="D9" s="7"/>
      <c r="E9" s="7"/>
      <c r="F9" s="7"/>
      <c r="G9" s="7"/>
      <c r="H9" s="7"/>
      <c r="I9" s="7"/>
      <c r="J9" s="7"/>
      <c r="K9" s="26"/>
    </row>
    <row r="10" spans="1:11" x14ac:dyDescent="0.25">
      <c r="A10" s="25"/>
      <c r="B10" s="7"/>
      <c r="C10" s="7"/>
      <c r="D10" s="7"/>
      <c r="E10" s="7"/>
      <c r="F10" s="7"/>
      <c r="G10" s="7"/>
      <c r="H10" s="7"/>
      <c r="I10" s="7"/>
      <c r="J10" s="7"/>
      <c r="K10" s="26"/>
    </row>
    <row r="11" spans="1:11" x14ac:dyDescent="0.25">
      <c r="A11" s="25"/>
      <c r="B11" s="7"/>
      <c r="C11" s="7"/>
      <c r="D11" s="7"/>
      <c r="E11" s="7"/>
      <c r="F11" s="7"/>
      <c r="G11" s="7"/>
      <c r="H11" s="7"/>
      <c r="I11" s="7"/>
      <c r="J11" s="7"/>
      <c r="K11" s="26"/>
    </row>
    <row r="12" spans="1:11" x14ac:dyDescent="0.25">
      <c r="A12" s="25"/>
      <c r="B12" s="7"/>
      <c r="C12" s="7"/>
      <c r="D12" s="7"/>
      <c r="E12" s="7"/>
      <c r="F12" s="7"/>
      <c r="G12" s="7"/>
      <c r="H12" s="7"/>
      <c r="I12" s="7"/>
      <c r="J12" s="7"/>
      <c r="K12" s="26"/>
    </row>
    <row r="13" spans="1:11" x14ac:dyDescent="0.25">
      <c r="A13" s="25"/>
      <c r="B13" s="7"/>
      <c r="C13" s="7"/>
      <c r="D13" s="7"/>
      <c r="E13" s="7"/>
      <c r="F13" s="7"/>
      <c r="G13" s="7"/>
      <c r="H13" s="7"/>
      <c r="I13" s="7"/>
      <c r="J13" s="7"/>
      <c r="K13" s="26"/>
    </row>
    <row r="14" spans="1:11" x14ac:dyDescent="0.25">
      <c r="A14" s="25"/>
      <c r="B14" s="7"/>
      <c r="C14" s="7"/>
      <c r="D14" s="7"/>
      <c r="E14" s="7"/>
      <c r="F14" s="7"/>
      <c r="G14" s="7"/>
      <c r="H14" s="7"/>
      <c r="I14" s="7"/>
      <c r="J14" s="7"/>
      <c r="K14" s="26"/>
    </row>
    <row r="15" spans="1:11" x14ac:dyDescent="0.25">
      <c r="A15" s="25"/>
      <c r="B15" s="7"/>
      <c r="C15" s="7"/>
      <c r="D15" s="7"/>
      <c r="E15" s="7"/>
      <c r="F15" s="7"/>
      <c r="G15" s="7"/>
      <c r="H15" s="7"/>
      <c r="I15" s="7"/>
      <c r="J15" s="7"/>
      <c r="K15" s="26"/>
    </row>
    <row r="16" spans="1:11" x14ac:dyDescent="0.25">
      <c r="A16" s="25"/>
      <c r="B16" s="7"/>
      <c r="C16" s="7"/>
      <c r="D16" s="7"/>
      <c r="E16" s="7"/>
      <c r="F16" s="7"/>
      <c r="G16" s="7"/>
      <c r="H16" s="7"/>
      <c r="I16" s="7"/>
      <c r="J16" s="7"/>
      <c r="K16" s="26"/>
    </row>
    <row r="17" spans="1:11" x14ac:dyDescent="0.25">
      <c r="A17" s="25"/>
      <c r="B17" s="7"/>
      <c r="C17" s="7"/>
      <c r="D17" s="7"/>
      <c r="E17" s="7"/>
      <c r="F17" s="7"/>
      <c r="G17" s="7"/>
      <c r="H17" s="7"/>
      <c r="I17" s="7"/>
      <c r="J17" s="7"/>
      <c r="K17" s="26"/>
    </row>
    <row r="18" spans="1:11" x14ac:dyDescent="0.25">
      <c r="A18" s="25"/>
      <c r="B18" s="7"/>
      <c r="C18" s="7"/>
      <c r="D18" s="7"/>
      <c r="E18" s="7"/>
      <c r="F18" s="7"/>
      <c r="G18" s="7"/>
      <c r="H18" s="7"/>
      <c r="I18" s="7"/>
      <c r="J18" s="7"/>
      <c r="K18" s="26"/>
    </row>
    <row r="19" spans="1:11" x14ac:dyDescent="0.25">
      <c r="A19" s="25"/>
      <c r="B19" s="7"/>
      <c r="C19" s="7"/>
      <c r="D19" s="7"/>
      <c r="E19" s="7"/>
      <c r="F19" s="7"/>
      <c r="G19" s="7"/>
      <c r="H19" s="7"/>
      <c r="I19" s="7"/>
      <c r="J19" s="7"/>
      <c r="K19" s="26"/>
    </row>
    <row r="20" spans="1:11" x14ac:dyDescent="0.25">
      <c r="A20" s="25"/>
      <c r="B20" s="7"/>
      <c r="C20" s="7"/>
      <c r="D20" s="7"/>
      <c r="E20" s="7"/>
      <c r="F20" s="7"/>
      <c r="G20" s="7"/>
      <c r="H20" s="7"/>
      <c r="I20" s="7"/>
      <c r="J20" s="7"/>
      <c r="K20" s="26"/>
    </row>
    <row r="21" spans="1:11" x14ac:dyDescent="0.25">
      <c r="A21" s="25"/>
      <c r="B21" s="7"/>
      <c r="C21" s="7"/>
      <c r="D21" s="7"/>
      <c r="E21" s="7"/>
      <c r="F21" s="7"/>
      <c r="G21" s="7"/>
      <c r="H21" s="7"/>
      <c r="I21" s="7"/>
      <c r="J21" s="7"/>
      <c r="K21" s="26"/>
    </row>
    <row r="22" spans="1:11" x14ac:dyDescent="0.25">
      <c r="A22" s="25"/>
      <c r="B22" s="7"/>
      <c r="C22" s="7"/>
      <c r="D22" s="7"/>
      <c r="E22" s="7"/>
      <c r="F22" s="7"/>
      <c r="G22" s="7"/>
      <c r="H22" s="7"/>
      <c r="I22" s="7"/>
      <c r="J22" s="7"/>
      <c r="K22" s="26"/>
    </row>
    <row r="23" spans="1:11" x14ac:dyDescent="0.25">
      <c r="A23" s="25"/>
      <c r="B23" s="7"/>
      <c r="C23" s="7"/>
      <c r="D23" s="7"/>
      <c r="E23" s="7"/>
      <c r="F23" s="7"/>
      <c r="G23" s="7"/>
      <c r="H23" s="7"/>
      <c r="I23" s="7"/>
      <c r="J23" s="7"/>
      <c r="K23" s="26"/>
    </row>
    <row r="24" spans="1:11" x14ac:dyDescent="0.25">
      <c r="A24" s="25"/>
      <c r="B24" s="7"/>
      <c r="C24" s="7"/>
      <c r="D24" s="7"/>
      <c r="E24" s="7"/>
      <c r="F24" s="7"/>
      <c r="G24" s="7"/>
      <c r="H24" s="7"/>
      <c r="I24" s="7"/>
      <c r="J24" s="7"/>
      <c r="K24" s="26"/>
    </row>
    <row r="25" spans="1:11" x14ac:dyDescent="0.25">
      <c r="A25" s="25"/>
      <c r="B25" s="7"/>
      <c r="C25" s="7"/>
      <c r="D25" s="7"/>
      <c r="E25" s="7"/>
      <c r="F25" s="7"/>
      <c r="G25" s="7"/>
      <c r="H25" s="7"/>
      <c r="I25" s="7"/>
      <c r="J25" s="7"/>
      <c r="K25" s="26"/>
    </row>
    <row r="26" spans="1:11" x14ac:dyDescent="0.25">
      <c r="A26" s="25"/>
      <c r="B26" s="7"/>
      <c r="C26" s="7"/>
      <c r="D26" s="7"/>
      <c r="E26" s="7"/>
      <c r="F26" s="7"/>
      <c r="G26" s="7"/>
      <c r="H26" s="7"/>
      <c r="I26" s="7"/>
      <c r="J26" s="7"/>
      <c r="K26" s="26"/>
    </row>
    <row r="27" spans="1:11" x14ac:dyDescent="0.25">
      <c r="A27" s="25"/>
      <c r="B27" s="7"/>
      <c r="C27" s="7"/>
      <c r="D27" s="7"/>
      <c r="E27" s="7"/>
      <c r="F27" s="7"/>
      <c r="G27" s="7"/>
      <c r="H27" s="7"/>
      <c r="I27" s="7"/>
      <c r="J27" s="7"/>
      <c r="K27" s="26"/>
    </row>
    <row r="28" spans="1:11" x14ac:dyDescent="0.25">
      <c r="A28" s="25"/>
      <c r="B28" s="7"/>
      <c r="C28" s="7"/>
      <c r="D28" s="7"/>
      <c r="E28" s="7"/>
      <c r="F28" s="7"/>
      <c r="G28" s="7"/>
      <c r="H28" s="7"/>
      <c r="I28" s="7"/>
      <c r="J28" s="7"/>
      <c r="K28" s="26"/>
    </row>
    <row r="29" spans="1:11" x14ac:dyDescent="0.25">
      <c r="A29" s="25"/>
      <c r="B29" s="7"/>
      <c r="C29" s="7"/>
      <c r="D29" s="7"/>
      <c r="E29" s="7"/>
      <c r="F29" s="7"/>
      <c r="G29" s="7"/>
      <c r="H29" s="7"/>
      <c r="I29" s="7"/>
      <c r="J29" s="7"/>
      <c r="K29" s="26"/>
    </row>
    <row r="30" spans="1:11" x14ac:dyDescent="0.25">
      <c r="A30" s="25"/>
      <c r="B30" s="7"/>
      <c r="C30" s="7"/>
      <c r="D30" s="7"/>
      <c r="E30" s="7"/>
      <c r="F30" s="7"/>
      <c r="G30" s="7"/>
      <c r="H30" s="7"/>
      <c r="I30" s="7"/>
      <c r="J30" s="7"/>
      <c r="K30" s="26"/>
    </row>
    <row r="31" spans="1:11" x14ac:dyDescent="0.25">
      <c r="A31" s="25"/>
      <c r="B31" s="7"/>
      <c r="C31" s="7"/>
      <c r="D31" s="7"/>
      <c r="E31" s="7"/>
      <c r="F31" s="7"/>
      <c r="G31" s="7"/>
      <c r="H31" s="7"/>
      <c r="I31" s="7"/>
      <c r="J31" s="7"/>
      <c r="K31" s="26"/>
    </row>
    <row r="32" spans="1:11" x14ac:dyDescent="0.25">
      <c r="A32" s="25"/>
      <c r="B32" s="7"/>
      <c r="C32" s="7"/>
      <c r="D32" s="7"/>
      <c r="E32" s="7"/>
      <c r="F32" s="7"/>
      <c r="G32" s="7"/>
      <c r="H32" s="7"/>
      <c r="I32" s="7"/>
      <c r="J32" s="7"/>
      <c r="K32" s="26"/>
    </row>
    <row r="33" spans="1:11" x14ac:dyDescent="0.25">
      <c r="A33" s="25"/>
      <c r="B33" s="7"/>
      <c r="C33" s="7"/>
      <c r="D33" s="7"/>
      <c r="E33" s="7"/>
      <c r="F33" s="7"/>
      <c r="G33" s="7"/>
      <c r="H33" s="7"/>
      <c r="I33" s="7"/>
      <c r="J33" s="7"/>
      <c r="K33" s="26"/>
    </row>
    <row r="34" spans="1:11" x14ac:dyDescent="0.25">
      <c r="A34" s="25"/>
      <c r="B34" s="7"/>
      <c r="C34" s="7"/>
      <c r="D34" s="7"/>
      <c r="E34" s="7"/>
      <c r="F34" s="7"/>
      <c r="G34" s="7"/>
      <c r="H34" s="7"/>
      <c r="I34" s="7"/>
      <c r="J34" s="7"/>
      <c r="K34" s="26"/>
    </row>
    <row r="35" spans="1:11" x14ac:dyDescent="0.25">
      <c r="A35" s="25"/>
      <c r="B35" s="7"/>
      <c r="C35" s="7"/>
      <c r="D35" s="7"/>
      <c r="E35" s="7"/>
      <c r="F35" s="7"/>
      <c r="G35" s="7"/>
      <c r="H35" s="7"/>
      <c r="I35" s="7"/>
      <c r="J35" s="7"/>
      <c r="K35" s="26"/>
    </row>
    <row r="36" spans="1:11" x14ac:dyDescent="0.25">
      <c r="A36" s="25"/>
      <c r="B36" s="7"/>
      <c r="C36" s="7"/>
      <c r="D36" s="7"/>
      <c r="E36" s="7"/>
      <c r="F36" s="7"/>
      <c r="G36" s="7"/>
      <c r="H36" s="7"/>
      <c r="I36" s="7"/>
      <c r="J36" s="7"/>
      <c r="K36" s="26"/>
    </row>
    <row r="37" spans="1:11" x14ac:dyDescent="0.25">
      <c r="A37" s="25"/>
      <c r="B37" s="7"/>
      <c r="C37" s="7"/>
      <c r="D37" s="7"/>
      <c r="E37" s="7"/>
      <c r="F37" s="7"/>
      <c r="G37" s="7"/>
      <c r="H37" s="7"/>
      <c r="I37" s="7"/>
      <c r="J37" s="7"/>
      <c r="K37" s="26"/>
    </row>
    <row r="38" spans="1:11" x14ac:dyDescent="0.25">
      <c r="A38" s="25"/>
      <c r="B38" s="7"/>
      <c r="C38" s="7"/>
      <c r="D38" s="7"/>
      <c r="E38" s="7"/>
      <c r="F38" s="7"/>
      <c r="G38" s="7"/>
      <c r="H38" s="7"/>
      <c r="I38" s="7"/>
      <c r="J38" s="7"/>
      <c r="K38" s="26"/>
    </row>
    <row r="39" spans="1:11" x14ac:dyDescent="0.25">
      <c r="A39" s="25"/>
      <c r="B39" s="7"/>
      <c r="C39" s="7"/>
      <c r="D39" s="7"/>
      <c r="E39" s="7"/>
      <c r="F39" s="7"/>
      <c r="G39" s="7"/>
      <c r="H39" s="7"/>
      <c r="I39" s="7"/>
      <c r="J39" s="7"/>
      <c r="K39" s="26"/>
    </row>
    <row r="40" spans="1:11" ht="15.75" thickBot="1" x14ac:dyDescent="0.3">
      <c r="A40" s="25"/>
      <c r="B40" s="7"/>
      <c r="C40" s="7"/>
      <c r="D40" s="7"/>
      <c r="E40" s="45" t="s">
        <v>37</v>
      </c>
      <c r="F40" s="45" t="s">
        <v>60</v>
      </c>
      <c r="G40" s="45" t="s">
        <v>61</v>
      </c>
      <c r="H40" s="7"/>
      <c r="I40" s="7"/>
      <c r="J40" s="7"/>
      <c r="K40" s="26"/>
    </row>
    <row r="41" spans="1:11" ht="15.75" thickTop="1" x14ac:dyDescent="0.25">
      <c r="A41" s="25"/>
      <c r="B41" s="7"/>
      <c r="C41" s="7"/>
      <c r="D41" s="7"/>
      <c r="E41" s="41" t="s">
        <v>12</v>
      </c>
      <c r="F41" s="42">
        <f>VLOOKUP(E41,Table3[],8,0)</f>
        <v>227427000</v>
      </c>
      <c r="G41" s="46">
        <f>RANK(F41,$F$41:$F$45,0)</f>
        <v>3</v>
      </c>
      <c r="H41" s="7"/>
      <c r="I41" s="7"/>
      <c r="J41" s="7"/>
      <c r="K41" s="26"/>
    </row>
    <row r="42" spans="1:11" x14ac:dyDescent="0.25">
      <c r="A42" s="25"/>
      <c r="B42" s="7"/>
      <c r="C42" s="7"/>
      <c r="D42" s="7"/>
      <c r="E42" s="6" t="s">
        <v>16</v>
      </c>
      <c r="F42" s="43">
        <f>VLOOKUP(E42,Table3[],8,0)</f>
        <v>381780500</v>
      </c>
      <c r="G42" s="47">
        <f t="shared" ref="G42:G45" si="0">RANK(F42,$F$41:$F$45,0)</f>
        <v>2</v>
      </c>
      <c r="H42" s="7"/>
      <c r="I42" s="7"/>
      <c r="J42" s="7"/>
      <c r="K42" s="26"/>
    </row>
    <row r="43" spans="1:11" x14ac:dyDescent="0.25">
      <c r="A43" s="25"/>
      <c r="B43" s="7"/>
      <c r="C43" s="7"/>
      <c r="D43" s="7"/>
      <c r="E43" s="8" t="s">
        <v>20</v>
      </c>
      <c r="F43" s="44">
        <f>VLOOKUP(E43,Table3[],8,0)</f>
        <v>31630500</v>
      </c>
      <c r="G43" s="48">
        <f t="shared" si="0"/>
        <v>5</v>
      </c>
      <c r="H43" s="7"/>
      <c r="I43" s="7"/>
      <c r="J43" s="7"/>
      <c r="K43" s="26"/>
    </row>
    <row r="44" spans="1:11" x14ac:dyDescent="0.25">
      <c r="A44" s="25"/>
      <c r="B44" s="7"/>
      <c r="C44" s="7"/>
      <c r="D44" s="7"/>
      <c r="E44" s="6" t="s">
        <v>23</v>
      </c>
      <c r="F44" s="43">
        <f>VLOOKUP(E44,Table3[],8,0)</f>
        <v>212148000</v>
      </c>
      <c r="G44" s="47">
        <f t="shared" si="0"/>
        <v>4</v>
      </c>
      <c r="H44" s="7"/>
      <c r="I44" s="7"/>
      <c r="J44" s="7"/>
      <c r="K44" s="26"/>
    </row>
    <row r="45" spans="1:11" x14ac:dyDescent="0.25">
      <c r="A45" s="25"/>
      <c r="B45" s="7"/>
      <c r="C45" s="7"/>
      <c r="D45" s="7"/>
      <c r="E45" s="8" t="s">
        <v>27</v>
      </c>
      <c r="F45" s="44">
        <f>VLOOKUP(E45,Table3[],8,0)</f>
        <v>640573750</v>
      </c>
      <c r="G45" s="48">
        <f t="shared" si="0"/>
        <v>1</v>
      </c>
      <c r="H45" s="7"/>
      <c r="I45" s="7"/>
      <c r="J45" s="7"/>
      <c r="K45" s="26"/>
    </row>
    <row r="46" spans="1:11" x14ac:dyDescent="0.25">
      <c r="A46" s="21"/>
      <c r="B46" s="27"/>
      <c r="C46" s="27"/>
      <c r="D46" s="27"/>
      <c r="E46" s="27"/>
      <c r="F46" s="27"/>
      <c r="G46" s="27"/>
      <c r="H46" s="27"/>
      <c r="I46" s="27"/>
      <c r="J46" s="27"/>
      <c r="K46" s="20"/>
    </row>
  </sheetData>
  <mergeCells count="10">
    <mergeCell ref="A6:B6"/>
    <mergeCell ref="A7:B7"/>
    <mergeCell ref="A4:K4"/>
    <mergeCell ref="A3:K3"/>
    <mergeCell ref="I6:K6"/>
    <mergeCell ref="I7:K7"/>
    <mergeCell ref="F6:H6"/>
    <mergeCell ref="F7:H7"/>
    <mergeCell ref="C6:E6"/>
    <mergeCell ref="C7: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E181-5255-45FC-879A-F49AD03E8850}">
  <dimension ref="A1:H13"/>
  <sheetViews>
    <sheetView showGridLines="0" workbookViewId="0">
      <selection activeCell="A2" sqref="A2:A6"/>
    </sheetView>
  </sheetViews>
  <sheetFormatPr defaultRowHeight="15" x14ac:dyDescent="0.25"/>
  <cols>
    <col min="1" max="1" width="11.28515625" bestFit="1" customWidth="1"/>
    <col min="3" max="3" width="11.140625" bestFit="1" customWidth="1"/>
    <col min="5" max="5" width="10.140625" bestFit="1" customWidth="1"/>
    <col min="7" max="7" width="3.85546875" bestFit="1" customWidth="1"/>
    <col min="8" max="8" width="12.140625" customWidth="1"/>
  </cols>
  <sheetData>
    <row r="1" spans="1:8" x14ac:dyDescent="0.25">
      <c r="A1" s="1" t="s">
        <v>4</v>
      </c>
      <c r="C1" s="1" t="s">
        <v>2</v>
      </c>
      <c r="E1" s="1" t="s">
        <v>5</v>
      </c>
      <c r="G1" s="13" t="s">
        <v>45</v>
      </c>
      <c r="H1" s="13" t="s">
        <v>46</v>
      </c>
    </row>
    <row r="2" spans="1:8" x14ac:dyDescent="0.25">
      <c r="A2" s="12" t="s">
        <v>20</v>
      </c>
      <c r="C2" s="12" t="s">
        <v>10</v>
      </c>
      <c r="E2" s="12" t="s">
        <v>32</v>
      </c>
      <c r="G2" s="13">
        <v>1</v>
      </c>
      <c r="H2" s="14" t="s">
        <v>47</v>
      </c>
    </row>
    <row r="3" spans="1:8" x14ac:dyDescent="0.25">
      <c r="A3" s="12" t="s">
        <v>27</v>
      </c>
      <c r="C3" s="12" t="s">
        <v>18</v>
      </c>
      <c r="E3" s="12" t="s">
        <v>13</v>
      </c>
      <c r="G3" s="13">
        <v>2</v>
      </c>
      <c r="H3" s="14" t="s">
        <v>48</v>
      </c>
    </row>
    <row r="4" spans="1:8" x14ac:dyDescent="0.25">
      <c r="A4" s="12" t="s">
        <v>12</v>
      </c>
      <c r="C4" s="12" t="s">
        <v>24</v>
      </c>
      <c r="E4" s="12" t="s">
        <v>21</v>
      </c>
      <c r="G4" s="13">
        <v>3</v>
      </c>
      <c r="H4" s="14" t="s">
        <v>49</v>
      </c>
    </row>
    <row r="5" spans="1:8" x14ac:dyDescent="0.25">
      <c r="A5" s="12" t="s">
        <v>23</v>
      </c>
      <c r="C5" s="12" t="s">
        <v>25</v>
      </c>
      <c r="E5" s="12" t="s">
        <v>28</v>
      </c>
      <c r="G5" s="13">
        <v>4</v>
      </c>
      <c r="H5" s="14" t="s">
        <v>50</v>
      </c>
    </row>
    <row r="6" spans="1:8" x14ac:dyDescent="0.25">
      <c r="A6" s="12" t="s">
        <v>16</v>
      </c>
      <c r="C6" s="12" t="s">
        <v>33</v>
      </c>
      <c r="E6" s="12" t="s">
        <v>17</v>
      </c>
      <c r="G6" s="13">
        <v>5</v>
      </c>
      <c r="H6" s="14" t="s">
        <v>51</v>
      </c>
    </row>
    <row r="7" spans="1:8" x14ac:dyDescent="0.25">
      <c r="C7" s="12" t="s">
        <v>14</v>
      </c>
      <c r="E7" s="12" t="s">
        <v>31</v>
      </c>
      <c r="G7" s="13">
        <v>6</v>
      </c>
      <c r="H7" s="14" t="s">
        <v>52</v>
      </c>
    </row>
    <row r="8" spans="1:8" x14ac:dyDescent="0.25">
      <c r="G8" s="13">
        <v>7</v>
      </c>
      <c r="H8" s="14" t="s">
        <v>53</v>
      </c>
    </row>
    <row r="9" spans="1:8" x14ac:dyDescent="0.25">
      <c r="G9" s="13">
        <v>8</v>
      </c>
      <c r="H9" s="14" t="s">
        <v>54</v>
      </c>
    </row>
    <row r="10" spans="1:8" x14ac:dyDescent="0.25">
      <c r="G10" s="13">
        <v>9</v>
      </c>
      <c r="H10" s="14" t="s">
        <v>55</v>
      </c>
    </row>
    <row r="11" spans="1:8" x14ac:dyDescent="0.25">
      <c r="G11" s="13">
        <v>10</v>
      </c>
      <c r="H11" s="14" t="s">
        <v>56</v>
      </c>
    </row>
    <row r="12" spans="1:8" x14ac:dyDescent="0.25">
      <c r="G12" s="13">
        <v>11</v>
      </c>
      <c r="H12" s="14" t="s">
        <v>57</v>
      </c>
    </row>
    <row r="13" spans="1:8" x14ac:dyDescent="0.25">
      <c r="G13" s="13">
        <v>12</v>
      </c>
      <c r="H13" s="14" t="s">
        <v>58</v>
      </c>
    </row>
  </sheetData>
  <autoFilter ref="E1:E103" xr:uid="{172CE181-5255-45FC-879A-F49AD03E8850}">
    <sortState xmlns:xlrd2="http://schemas.microsoft.com/office/spreadsheetml/2017/richdata2" ref="E2:E103">
      <sortCondition ref="E1:E10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E409-63D9-4804-96A3-DA60D023BA20}">
  <dimension ref="A2:P32"/>
  <sheetViews>
    <sheetView showGridLines="0" topLeftCell="A13" zoomScale="85" zoomScaleNormal="85" workbookViewId="0">
      <selection activeCell="H25" sqref="H25"/>
    </sheetView>
  </sheetViews>
  <sheetFormatPr defaultRowHeight="15" x14ac:dyDescent="0.25"/>
  <cols>
    <col min="1" max="1" width="14.85546875" bestFit="1" customWidth="1"/>
    <col min="2" max="8" width="19.5703125" customWidth="1"/>
    <col min="9" max="9" width="15.42578125" customWidth="1"/>
    <col min="10" max="10" width="23.85546875" customWidth="1"/>
    <col min="11" max="11" width="31.7109375" customWidth="1"/>
    <col min="12" max="12" width="24.42578125" customWidth="1"/>
    <col min="13" max="13" width="32.28515625" customWidth="1"/>
  </cols>
  <sheetData>
    <row r="2" spans="1:16" ht="28.5" customHeight="1" x14ac:dyDescent="0.25">
      <c r="A2" s="9" t="s">
        <v>66</v>
      </c>
      <c r="B2" s="10" t="s">
        <v>32</v>
      </c>
      <c r="C2" s="10" t="s">
        <v>13</v>
      </c>
      <c r="D2" s="10" t="s">
        <v>21</v>
      </c>
      <c r="E2" s="10" t="s">
        <v>28</v>
      </c>
      <c r="F2" s="10" t="s">
        <v>17</v>
      </c>
      <c r="G2" s="10" t="s">
        <v>31</v>
      </c>
      <c r="I2" s="11" t="s">
        <v>37</v>
      </c>
      <c r="J2" s="11" t="s">
        <v>38</v>
      </c>
      <c r="K2" s="11" t="s">
        <v>40</v>
      </c>
      <c r="L2" s="11" t="s">
        <v>39</v>
      </c>
      <c r="M2" s="11" t="s">
        <v>41</v>
      </c>
      <c r="N2" s="11"/>
      <c r="O2" s="11"/>
      <c r="P2" s="11"/>
    </row>
    <row r="3" spans="1:16" x14ac:dyDescent="0.25">
      <c r="A3" t="s">
        <v>12</v>
      </c>
      <c r="B3">
        <f>SUMIFS('Raw Data'!$G:$G,'Raw Data'!$E:$E,Table2[Kategori Produk],'Raw Data'!$F:$F,Table2[[#Headers],[Bandung]])</f>
        <v>0</v>
      </c>
      <c r="C3">
        <f>SUMIFS('Raw Data'!$G:$G,'Raw Data'!$E:$E,Table2[Kategori Produk],'Raw Data'!$F:$F,Table2[[#Headers],[Bekasi]])</f>
        <v>43</v>
      </c>
      <c r="D3">
        <f>SUMIFS('Raw Data'!$G:$G,'Raw Data'!$E:$E,Table2[Kategori Produk],'Raw Data'!$F:$F,Table2[[#Headers],[Bogor]])</f>
        <v>12</v>
      </c>
      <c r="E3">
        <f>SUMIFS('Raw Data'!$G:$G,'Raw Data'!$E:$E,Table2[Kategori Produk],'Raw Data'!$F:$F,Table2[[#Headers],[Depok]])</f>
        <v>7</v>
      </c>
      <c r="F3">
        <f>SUMIFS('Raw Data'!$G:$G,'Raw Data'!$E:$E,Table2[Kategori Produk],'Raw Data'!$F:$F,Table2[[#Headers],[Jakarta]])</f>
        <v>22</v>
      </c>
      <c r="G3">
        <f>SUMIFS('Raw Data'!$G:$G,'Raw Data'!$E:$E,Table2[Kategori Produk],'Raw Data'!$F:$F,Table2[[#Headers],[Tangerang]])</f>
        <v>11</v>
      </c>
      <c r="I3" t="s">
        <v>12</v>
      </c>
      <c r="J3" s="10">
        <f>MAX(Table2[[#This Row],[Bandung]:[Tangerang]])</f>
        <v>43</v>
      </c>
      <c r="K3" s="10" t="str">
        <f>INDEX(Table2[[#Headers],[Bandung]:[Tangerang]],MATCH(J3,Table2[[#This Row],[Bandung]:[Tangerang]],0))</f>
        <v>Bekasi</v>
      </c>
      <c r="L3" s="10">
        <f>MIN(Table2[[#This Row],[Bandung]:[Tangerang]])</f>
        <v>0</v>
      </c>
      <c r="M3" s="10" t="str">
        <f>INDEX(Table2[[#Headers],[Bandung]:[Tangerang]],MATCH(L3,Table2[[#This Row],[Bandung]:[Tangerang]],0))</f>
        <v>Bandung</v>
      </c>
    </row>
    <row r="4" spans="1:16" x14ac:dyDescent="0.25">
      <c r="A4" t="s">
        <v>16</v>
      </c>
      <c r="B4">
        <f>SUMIFS('Raw Data'!$G:$G,'Raw Data'!$E:$E,Table2[Kategori Produk],'Raw Data'!$F:$F,Table2[[#Headers],[Bandung]])</f>
        <v>25</v>
      </c>
      <c r="C4">
        <f>SUMIFS('Raw Data'!$G:$G,'Raw Data'!$E:$E,Table2[Kategori Produk],'Raw Data'!$F:$F,Table2[[#Headers],[Bekasi]])</f>
        <v>17</v>
      </c>
      <c r="D4">
        <f>SUMIFS('Raw Data'!$G:$G,'Raw Data'!$E:$E,Table2[Kategori Produk],'Raw Data'!$F:$F,Table2[[#Headers],[Bogor]])</f>
        <v>11</v>
      </c>
      <c r="E4">
        <f>SUMIFS('Raw Data'!$G:$G,'Raw Data'!$E:$E,Table2[Kategori Produk],'Raw Data'!$F:$F,Table2[[#Headers],[Depok]])</f>
        <v>6</v>
      </c>
      <c r="F4">
        <f>SUMIFS('Raw Data'!$G:$G,'Raw Data'!$E:$E,Table2[Kategori Produk],'Raw Data'!$F:$F,Table2[[#Headers],[Jakarta]])</f>
        <v>14</v>
      </c>
      <c r="G4">
        <f>SUMIFS('Raw Data'!$G:$G,'Raw Data'!$E:$E,Table2[Kategori Produk],'Raw Data'!$F:$F,Table2[[#Headers],[Tangerang]])</f>
        <v>7</v>
      </c>
      <c r="I4" t="s">
        <v>16</v>
      </c>
      <c r="J4" s="10">
        <f>MAX(Table2[[#This Row],[Bandung]:[Tangerang]])</f>
        <v>25</v>
      </c>
      <c r="K4" s="10" t="str">
        <f>INDEX(Table2[[#Headers],[Bandung]:[Tangerang]],MATCH(J4,Table2[[#This Row],[Bandung]:[Tangerang]],0))</f>
        <v>Bandung</v>
      </c>
      <c r="L4" s="10">
        <f>MIN(Table2[[#This Row],[Bandung]:[Tangerang]])</f>
        <v>6</v>
      </c>
      <c r="M4" s="10" t="str">
        <f>INDEX(Table2[[#Headers],[Bandung]:[Tangerang]],MATCH(L4,Table2[[#This Row],[Bandung]:[Tangerang]],0))</f>
        <v>Depok</v>
      </c>
    </row>
    <row r="5" spans="1:16" x14ac:dyDescent="0.25">
      <c r="A5" t="s">
        <v>20</v>
      </c>
      <c r="B5">
        <f>SUMIFS('Raw Data'!$G:$G,'Raw Data'!$E:$E,Table2[Kategori Produk],'Raw Data'!$F:$F,Table2[[#Headers],[Bandung]])</f>
        <v>13</v>
      </c>
      <c r="C5">
        <f>SUMIFS('Raw Data'!$G:$G,'Raw Data'!$E:$E,Table2[Kategori Produk],'Raw Data'!$F:$F,Table2[[#Headers],[Bekasi]])</f>
        <v>29</v>
      </c>
      <c r="D5">
        <f>SUMIFS('Raw Data'!$G:$G,'Raw Data'!$E:$E,Table2[Kategori Produk],'Raw Data'!$F:$F,Table2[[#Headers],[Bogor]])</f>
        <v>7</v>
      </c>
      <c r="E5">
        <f>SUMIFS('Raw Data'!$G:$G,'Raw Data'!$E:$E,Table2[Kategori Produk],'Raw Data'!$F:$F,Table2[[#Headers],[Depok]])</f>
        <v>18</v>
      </c>
      <c r="F5">
        <f>SUMIFS('Raw Data'!$G:$G,'Raw Data'!$E:$E,Table2[Kategori Produk],'Raw Data'!$F:$F,Table2[[#Headers],[Jakarta]])</f>
        <v>12</v>
      </c>
      <c r="G5">
        <f>SUMIFS('Raw Data'!$G:$G,'Raw Data'!$E:$E,Table2[Kategori Produk],'Raw Data'!$F:$F,Table2[[#Headers],[Tangerang]])</f>
        <v>20</v>
      </c>
      <c r="I5" t="s">
        <v>20</v>
      </c>
      <c r="J5" s="10">
        <f>MAX(Table2[[#This Row],[Bandung]:[Tangerang]])</f>
        <v>29</v>
      </c>
      <c r="K5" s="10" t="str">
        <f>INDEX(Table2[[#Headers],[Bandung]:[Tangerang]],MATCH(J5,Table2[[#This Row],[Bandung]:[Tangerang]],0))</f>
        <v>Bekasi</v>
      </c>
      <c r="L5" s="10">
        <f>MIN(Table2[[#This Row],[Bandung]:[Tangerang]])</f>
        <v>7</v>
      </c>
      <c r="M5" s="10" t="str">
        <f>INDEX(Table2[[#Headers],[Bandung]:[Tangerang]],MATCH(L5,Table2[[#This Row],[Bandung]:[Tangerang]],0))</f>
        <v>Bogor</v>
      </c>
    </row>
    <row r="6" spans="1:16" x14ac:dyDescent="0.25">
      <c r="A6" t="s">
        <v>23</v>
      </c>
      <c r="B6">
        <f>SUMIFS('Raw Data'!$G:$G,'Raw Data'!$E:$E,Table2[Kategori Produk],'Raw Data'!$F:$F,Table2[[#Headers],[Bandung]])</f>
        <v>4</v>
      </c>
      <c r="C6">
        <f>SUMIFS('Raw Data'!$G:$G,'Raw Data'!$E:$E,Table2[Kategori Produk],'Raw Data'!$F:$F,Table2[[#Headers],[Bekasi]])</f>
        <v>17</v>
      </c>
      <c r="D6">
        <f>SUMIFS('Raw Data'!$G:$G,'Raw Data'!$E:$E,Table2[Kategori Produk],'Raw Data'!$F:$F,Table2[[#Headers],[Bogor]])</f>
        <v>13</v>
      </c>
      <c r="E6">
        <f>SUMIFS('Raw Data'!$G:$G,'Raw Data'!$E:$E,Table2[Kategori Produk],'Raw Data'!$F:$F,Table2[[#Headers],[Depok]])</f>
        <v>14</v>
      </c>
      <c r="F6">
        <f>SUMIFS('Raw Data'!$G:$G,'Raw Data'!$E:$E,Table2[Kategori Produk],'Raw Data'!$F:$F,Table2[[#Headers],[Jakarta]])</f>
        <v>17</v>
      </c>
      <c r="G6">
        <f>SUMIFS('Raw Data'!$G:$G,'Raw Data'!$E:$E,Table2[Kategori Produk],'Raw Data'!$F:$F,Table2[[#Headers],[Tangerang]])</f>
        <v>25</v>
      </c>
      <c r="I6" t="s">
        <v>23</v>
      </c>
      <c r="J6" s="10">
        <f>MAX(Table2[[#This Row],[Bandung]:[Tangerang]])</f>
        <v>25</v>
      </c>
      <c r="K6" s="10" t="str">
        <f>INDEX(Table2[[#Headers],[Bandung]:[Tangerang]],MATCH(J6,Table2[[#This Row],[Bandung]:[Tangerang]],0))</f>
        <v>Tangerang</v>
      </c>
      <c r="L6" s="10">
        <f>MIN(Table2[[#This Row],[Bandung]:[Tangerang]])</f>
        <v>4</v>
      </c>
      <c r="M6" s="10" t="str">
        <f>INDEX(Table2[[#Headers],[Bandung]:[Tangerang]],MATCH(L6,Table2[[#This Row],[Bandung]:[Tangerang]],0))</f>
        <v>Bandung</v>
      </c>
    </row>
    <row r="7" spans="1:16" x14ac:dyDescent="0.25">
      <c r="A7" t="s">
        <v>27</v>
      </c>
      <c r="B7">
        <f>SUMIFS('Raw Data'!$G:$G,'Raw Data'!$E:$E,Table2[Kategori Produk],'Raw Data'!$F:$F,Table2[[#Headers],[Bandung]])</f>
        <v>21</v>
      </c>
      <c r="C7">
        <f>SUMIFS('Raw Data'!$G:$G,'Raw Data'!$E:$E,Table2[Kategori Produk],'Raw Data'!$F:$F,Table2[[#Headers],[Bekasi]])</f>
        <v>2</v>
      </c>
      <c r="D7">
        <f>SUMIFS('Raw Data'!$G:$G,'Raw Data'!$E:$E,Table2[Kategori Produk],'Raw Data'!$F:$F,Table2[[#Headers],[Bogor]])</f>
        <v>6</v>
      </c>
      <c r="E7">
        <f>SUMIFS('Raw Data'!$G:$G,'Raw Data'!$E:$E,Table2[Kategori Produk],'Raw Data'!$F:$F,Table2[[#Headers],[Depok]])</f>
        <v>22</v>
      </c>
      <c r="F7">
        <f>SUMIFS('Raw Data'!$G:$G,'Raw Data'!$E:$E,Table2[Kategori Produk],'Raw Data'!$F:$F,Table2[[#Headers],[Jakarta]])</f>
        <v>8</v>
      </c>
      <c r="G7">
        <f>SUMIFS('Raw Data'!$G:$G,'Raw Data'!$E:$E,Table2[Kategori Produk],'Raw Data'!$F:$F,Table2[[#Headers],[Tangerang]])</f>
        <v>15</v>
      </c>
      <c r="I7" t="s">
        <v>27</v>
      </c>
      <c r="J7" s="10">
        <f>MAX(Table2[[#This Row],[Bandung]:[Tangerang]])</f>
        <v>22</v>
      </c>
      <c r="K7" s="10" t="str">
        <f>INDEX(Table2[[#Headers],[Bandung]:[Tangerang]],MATCH(J7,Table2[[#This Row],[Bandung]:[Tangerang]],0))</f>
        <v>Depok</v>
      </c>
      <c r="L7" s="10">
        <f>MIN(Table2[[#This Row],[Bandung]:[Tangerang]])</f>
        <v>2</v>
      </c>
      <c r="M7" s="10" t="str">
        <f>INDEX(Table2[[#Headers],[Bandung]:[Tangerang]],MATCH(L7,Table2[[#This Row],[Bandung]:[Tangerang]],0))</f>
        <v>Bekasi</v>
      </c>
    </row>
    <row r="8" spans="1:16" x14ac:dyDescent="0.25">
      <c r="A8" t="s">
        <v>9</v>
      </c>
      <c r="B8">
        <f>SUBTOTAL(109,Table2[Bandung])</f>
        <v>63</v>
      </c>
      <c r="C8">
        <f>SUBTOTAL(109,Table2[Bekasi])</f>
        <v>108</v>
      </c>
      <c r="D8">
        <f>SUBTOTAL(109,Table2[Bogor])</f>
        <v>49</v>
      </c>
      <c r="E8">
        <f>SUBTOTAL(109,Table2[Depok])</f>
        <v>67</v>
      </c>
      <c r="F8">
        <f>SUBTOTAL(109,Table2[Jakarta])</f>
        <v>73</v>
      </c>
      <c r="G8">
        <f>SUBTOTAL(109,Table2[Tangerang])</f>
        <v>78</v>
      </c>
    </row>
    <row r="14" spans="1:16" x14ac:dyDescent="0.25">
      <c r="A14" s="9" t="s">
        <v>66</v>
      </c>
      <c r="B14" s="29" t="s">
        <v>32</v>
      </c>
      <c r="C14" s="29" t="s">
        <v>13</v>
      </c>
      <c r="D14" s="29" t="s">
        <v>21</v>
      </c>
      <c r="E14" s="29" t="s">
        <v>28</v>
      </c>
      <c r="F14" s="29" t="s">
        <v>17</v>
      </c>
      <c r="G14" s="29" t="s">
        <v>31</v>
      </c>
      <c r="H14" s="10" t="s">
        <v>59</v>
      </c>
    </row>
    <row r="15" spans="1:16" x14ac:dyDescent="0.25">
      <c r="A15" t="s">
        <v>12</v>
      </c>
      <c r="B15" s="28">
        <f>SUMIFS('Raw Data'!$J:$J,'Raw Data'!$E:$E,Table3[Kategori Produk],'Raw Data'!$F:$F,Table3[[#Headers],[Bandung]])</f>
        <v>0</v>
      </c>
      <c r="C15" s="28">
        <f>SUMIFS('Raw Data'!$J:$J,'Raw Data'!$E:$E,Table3[Kategori Produk],'Raw Data'!$F:$F,Table3[[#Headers],[Bekasi]])</f>
        <v>99823000</v>
      </c>
      <c r="D15" s="28">
        <f>SUMIFS('Raw Data'!$J:$J,'Raw Data'!$E:$E,Table3[Kategori Produk],'Raw Data'!$F:$F,Table3[[#Headers],[Bogor]])</f>
        <v>25084500</v>
      </c>
      <c r="E15" s="28">
        <f>SUMIFS('Raw Data'!$J:$J,'Raw Data'!$E:$E,Table3[Kategori Produk],'Raw Data'!$F:$F,Table3[[#Headers],[Depok]])</f>
        <v>15361500</v>
      </c>
      <c r="F15" s="28">
        <f>SUMIFS('Raw Data'!$J:$J,'Raw Data'!$E:$E,Table3[Kategori Produk],'Raw Data'!$F:$F,Table3[[#Headers],[Jakarta]])</f>
        <v>63218000</v>
      </c>
      <c r="G15" s="28">
        <f>SUMIFS('Raw Data'!$J:$J,'Raw Data'!$E:$E,Table3[Kategori Produk],'Raw Data'!$F:$F,Table3[[#Headers],[Tangerang]])</f>
        <v>23940000</v>
      </c>
      <c r="H15" s="28">
        <f>SUM(Table3[[#This Row],[Bandung]:[Tangerang]])</f>
        <v>227427000</v>
      </c>
    </row>
    <row r="16" spans="1:16" x14ac:dyDescent="0.25">
      <c r="A16" t="s">
        <v>16</v>
      </c>
      <c r="B16" s="28">
        <f>SUMIFS('Raw Data'!$J:$J,'Raw Data'!$E:$E,Table3[Kategori Produk],'Raw Data'!$F:$F,Table3[[#Headers],[Bandung]])</f>
        <v>123247000</v>
      </c>
      <c r="C16" s="28">
        <f>SUMIFS('Raw Data'!$J:$J,'Raw Data'!$E:$E,Table3[Kategori Produk],'Raw Data'!$F:$F,Table3[[#Headers],[Bekasi]])</f>
        <v>72860000</v>
      </c>
      <c r="D16" s="28">
        <f>SUMIFS('Raw Data'!$J:$J,'Raw Data'!$E:$E,Table3[Kategori Produk],'Raw Data'!$F:$F,Table3[[#Headers],[Bogor]])</f>
        <v>55443500</v>
      </c>
      <c r="E16" s="28">
        <f>SUMIFS('Raw Data'!$J:$J,'Raw Data'!$E:$E,Table3[Kategori Produk],'Raw Data'!$F:$F,Table3[[#Headers],[Depok]])</f>
        <v>30020000</v>
      </c>
      <c r="F16" s="28">
        <f>SUMIFS('Raw Data'!$J:$J,'Raw Data'!$E:$E,Table3[Kategori Produk],'Raw Data'!$F:$F,Table3[[#Headers],[Jakarta]])</f>
        <v>59610000</v>
      </c>
      <c r="G16" s="28">
        <f>SUMIFS('Raw Data'!$J:$J,'Raw Data'!$E:$E,Table3[Kategori Produk],'Raw Data'!$F:$F,Table3[[#Headers],[Tangerang]])</f>
        <v>40600000</v>
      </c>
      <c r="H16" s="28">
        <f>SUM(Table3[[#This Row],[Bandung]:[Tangerang]])</f>
        <v>381780500</v>
      </c>
    </row>
    <row r="17" spans="1:8" x14ac:dyDescent="0.25">
      <c r="A17" t="s">
        <v>20</v>
      </c>
      <c r="B17" s="28">
        <f>SUMIFS('Raw Data'!$J:$J,'Raw Data'!$E:$E,Table3[Kategori Produk],'Raw Data'!$F:$F,Table3[[#Headers],[Bandung]])</f>
        <v>2776100</v>
      </c>
      <c r="C17" s="28">
        <f>SUMIFS('Raw Data'!$J:$J,'Raw Data'!$E:$E,Table3[Kategori Produk],'Raw Data'!$F:$F,Table3[[#Headers],[Bekasi]])</f>
        <v>9782500</v>
      </c>
      <c r="D17" s="28">
        <f>SUMIFS('Raw Data'!$J:$J,'Raw Data'!$E:$E,Table3[Kategori Produk],'Raw Data'!$F:$F,Table3[[#Headers],[Bogor]])</f>
        <v>2169000</v>
      </c>
      <c r="E17" s="28">
        <f>SUMIFS('Raw Data'!$J:$J,'Raw Data'!$E:$E,Table3[Kategori Produk],'Raw Data'!$F:$F,Table3[[#Headers],[Depok]])</f>
        <v>4794800</v>
      </c>
      <c r="F17" s="28">
        <f>SUMIFS('Raw Data'!$J:$J,'Raw Data'!$E:$E,Table3[Kategori Produk],'Raw Data'!$F:$F,Table3[[#Headers],[Jakarta]])</f>
        <v>5001600</v>
      </c>
      <c r="G17" s="28">
        <f>SUMIFS('Raw Data'!$J:$J,'Raw Data'!$E:$E,Table3[Kategori Produk],'Raw Data'!$F:$F,Table3[[#Headers],[Tangerang]])</f>
        <v>7106500</v>
      </c>
      <c r="H17" s="28">
        <f>SUM(Table3[[#This Row],[Bandung]:[Tangerang]])</f>
        <v>31630500</v>
      </c>
    </row>
    <row r="18" spans="1:8" x14ac:dyDescent="0.25">
      <c r="A18" t="s">
        <v>23</v>
      </c>
      <c r="B18" s="28">
        <f>SUMIFS('Raw Data'!$J:$J,'Raw Data'!$E:$E,Table3[Kategori Produk],'Raw Data'!$F:$F,Table3[[#Headers],[Bandung]])</f>
        <v>10260000</v>
      </c>
      <c r="C18" s="28">
        <f>SUMIFS('Raw Data'!$J:$J,'Raw Data'!$E:$E,Table3[Kategori Produk],'Raw Data'!$F:$F,Table3[[#Headers],[Bekasi]])</f>
        <v>42579000</v>
      </c>
      <c r="D18" s="28">
        <f>SUMIFS('Raw Data'!$J:$J,'Raw Data'!$E:$E,Table3[Kategori Produk],'Raw Data'!$F:$F,Table3[[#Headers],[Bogor]])</f>
        <v>30721500</v>
      </c>
      <c r="E18" s="28">
        <f>SUMIFS('Raw Data'!$J:$J,'Raw Data'!$E:$E,Table3[Kategori Produk],'Raw Data'!$F:$F,Table3[[#Headers],[Depok]])</f>
        <v>29839500</v>
      </c>
      <c r="F18" s="28">
        <f>SUMIFS('Raw Data'!$J:$J,'Raw Data'!$E:$E,Table3[Kategori Produk],'Raw Data'!$F:$F,Table3[[#Headers],[Jakarta]])</f>
        <v>36801000</v>
      </c>
      <c r="G18" s="28">
        <f>SUMIFS('Raw Data'!$J:$J,'Raw Data'!$E:$E,Table3[Kategori Produk],'Raw Data'!$F:$F,Table3[[#Headers],[Tangerang]])</f>
        <v>61947000</v>
      </c>
      <c r="H18" s="28">
        <f>SUM(Table3[[#This Row],[Bandung]:[Tangerang]])</f>
        <v>212148000</v>
      </c>
    </row>
    <row r="19" spans="1:8" x14ac:dyDescent="0.25">
      <c r="A19" t="s">
        <v>27</v>
      </c>
      <c r="B19" s="28">
        <f>SUMIFS('Raw Data'!$J:$J,'Raw Data'!$E:$E,Table3[Kategori Produk],'Raw Data'!$F:$F,Table3[[#Headers],[Bandung]])</f>
        <v>163875000</v>
      </c>
      <c r="C19" s="28">
        <f>SUMIFS('Raw Data'!$J:$J,'Raw Data'!$E:$E,Table3[Kategori Produk],'Raw Data'!$F:$F,Table3[[#Headers],[Bekasi]])</f>
        <v>18952500</v>
      </c>
      <c r="D19" s="28">
        <f>SUMIFS('Raw Data'!$J:$J,'Raw Data'!$E:$E,Table3[Kategori Produk],'Raw Data'!$F:$F,Table3[[#Headers],[Bogor]])</f>
        <v>52197500</v>
      </c>
      <c r="E19" s="28">
        <f>SUMIFS('Raw Data'!$J:$J,'Raw Data'!$E:$E,Table3[Kategori Produk],'Raw Data'!$F:$F,Table3[[#Headers],[Depok]])</f>
        <v>199517500</v>
      </c>
      <c r="F19" s="28">
        <f>SUMIFS('Raw Data'!$J:$J,'Raw Data'!$E:$E,Table3[Kategori Produk],'Raw Data'!$F:$F,Table3[[#Headers],[Jakarta]])</f>
        <v>72200000</v>
      </c>
      <c r="G19" s="28">
        <f>SUMIFS('Raw Data'!$J:$J,'Raw Data'!$E:$E,Table3[Kategori Produk],'Raw Data'!$F:$F,Table3[[#Headers],[Tangerang]])</f>
        <v>133831250</v>
      </c>
      <c r="H19" s="28">
        <f>SUM(Table3[[#This Row],[Bandung]:[Tangerang]])</f>
        <v>640573750</v>
      </c>
    </row>
    <row r="20" spans="1:8" x14ac:dyDescent="0.25">
      <c r="A20" t="s">
        <v>9</v>
      </c>
      <c r="B20" s="28">
        <f>SUBTOTAL(109,Table3[Bandung])</f>
        <v>300158100</v>
      </c>
      <c r="C20" s="28">
        <f>SUBTOTAL(109,Table3[Bekasi])</f>
        <v>243997000</v>
      </c>
      <c r="D20" s="28">
        <f>SUBTOTAL(109,Table3[Bogor])</f>
        <v>165616000</v>
      </c>
      <c r="E20" s="28">
        <f>SUBTOTAL(109,Table3[Depok])</f>
        <v>279533300</v>
      </c>
      <c r="F20" s="28">
        <f>SUBTOTAL(109,Table3[Jakarta])</f>
        <v>236830600</v>
      </c>
      <c r="G20" s="28">
        <f>SUBTOTAL(109,Table3[Tangerang])</f>
        <v>267424750</v>
      </c>
      <c r="H20" s="17"/>
    </row>
    <row r="23" spans="1:8" x14ac:dyDescent="0.25">
      <c r="A23" s="31" t="s">
        <v>46</v>
      </c>
      <c r="B23" s="52" t="s">
        <v>20</v>
      </c>
      <c r="C23" s="52" t="s">
        <v>27</v>
      </c>
      <c r="D23" s="52" t="s">
        <v>12</v>
      </c>
      <c r="E23" s="52" t="s">
        <v>23</v>
      </c>
      <c r="F23" s="30" t="s">
        <v>16</v>
      </c>
    </row>
    <row r="24" spans="1:8" x14ac:dyDescent="0.25">
      <c r="A24" s="18" t="s">
        <v>47</v>
      </c>
      <c r="B24" s="16">
        <f>SUMIFS('Raw Data'!$J:$J,'Raw Data'!$K:$K,Calculation!$A24,'Raw Data'!$E:$E,Calculation!B$23)</f>
        <v>4482500</v>
      </c>
      <c r="C24" s="16">
        <f>SUMIFS('Raw Data'!$J:$J,'Raw Data'!$K:$K,Calculation!$A24,'Raw Data'!$E:$E,Calculation!C$23)</f>
        <v>0</v>
      </c>
      <c r="D24" s="16">
        <f>SUMIFS('Raw Data'!$J:$J,'Raw Data'!$K:$K,Calculation!$A24,'Raw Data'!$E:$E,Calculation!D$23)</f>
        <v>40848000</v>
      </c>
      <c r="E24" s="16">
        <f>SUMIFS('Raw Data'!$J:$J,'Raw Data'!$K:$K,Calculation!$A24,'Raw Data'!$E:$E,Calculation!E$23)</f>
        <v>14305500</v>
      </c>
      <c r="F24" s="19">
        <f>SUMIFS('Raw Data'!$J:$J,'Raw Data'!$K:$K,Calculation!$A24,'Raw Data'!$E:$E,Calculation!F$23)</f>
        <v>4683500</v>
      </c>
    </row>
    <row r="25" spans="1:8" x14ac:dyDescent="0.25">
      <c r="A25" s="18" t="s">
        <v>48</v>
      </c>
      <c r="B25" s="16">
        <f>SUMIFS('Raw Data'!$J:$J,'Raw Data'!$K:$K,Calculation!$A25,'Raw Data'!$E:$E,Calculation!B$23)</f>
        <v>4232500</v>
      </c>
      <c r="C25" s="16">
        <f>SUMIFS('Raw Data'!$J:$J,'Raw Data'!$K:$K,Calculation!$A25,'Raw Data'!$E:$E,Calculation!C$23)</f>
        <v>77615000</v>
      </c>
      <c r="D25" s="16">
        <f>SUMIFS('Raw Data'!$J:$J,'Raw Data'!$K:$K,Calculation!$A25,'Raw Data'!$E:$E,Calculation!D$23)</f>
        <v>31775000</v>
      </c>
      <c r="E25" s="16">
        <f>SUMIFS('Raw Data'!$J:$J,'Raw Data'!$K:$K,Calculation!$A25,'Raw Data'!$E:$E,Calculation!E$23)</f>
        <v>6885000</v>
      </c>
      <c r="F25" s="19">
        <f>SUMIFS('Raw Data'!$J:$J,'Raw Data'!$K:$K,Calculation!$A25,'Raw Data'!$E:$E,Calculation!F$23)</f>
        <v>57510000</v>
      </c>
    </row>
    <row r="26" spans="1:8" x14ac:dyDescent="0.25">
      <c r="A26" s="18" t="s">
        <v>49</v>
      </c>
      <c r="B26" s="16">
        <f>SUMIFS('Raw Data'!$J:$J,'Raw Data'!$K:$K,Calculation!$A26,'Raw Data'!$E:$E,Calculation!B$23)</f>
        <v>4161000</v>
      </c>
      <c r="C26" s="16">
        <f>SUMIFS('Raw Data'!$J:$J,'Raw Data'!$K:$K,Calculation!$A26,'Raw Data'!$E:$E,Calculation!C$23)</f>
        <v>115181250</v>
      </c>
      <c r="D26" s="16">
        <f>SUMIFS('Raw Data'!$J:$J,'Raw Data'!$K:$K,Calculation!$A26,'Raw Data'!$E:$E,Calculation!D$23)</f>
        <v>10473750</v>
      </c>
      <c r="E26" s="16">
        <f>SUMIFS('Raw Data'!$J:$J,'Raw Data'!$K:$K,Calculation!$A26,'Raw Data'!$E:$E,Calculation!E$23)</f>
        <v>28971000</v>
      </c>
      <c r="F26" s="19">
        <f>SUMIFS('Raw Data'!$J:$J,'Raw Data'!$K:$K,Calculation!$A26,'Raw Data'!$E:$E,Calculation!F$23)</f>
        <v>45360000</v>
      </c>
    </row>
    <row r="27" spans="1:8" x14ac:dyDescent="0.25">
      <c r="A27" s="18" t="s">
        <v>50</v>
      </c>
      <c r="B27" s="16">
        <f>SUMIFS('Raw Data'!$J:$J,'Raw Data'!$K:$K,Calculation!$A27,'Raw Data'!$E:$E,Calculation!B$23)</f>
        <v>856000</v>
      </c>
      <c r="C27" s="16">
        <f>SUMIFS('Raw Data'!$J:$J,'Raw Data'!$K:$K,Calculation!$A27,'Raw Data'!$E:$E,Calculation!C$23)</f>
        <v>93765000</v>
      </c>
      <c r="D27" s="16">
        <f>SUMIFS('Raw Data'!$J:$J,'Raw Data'!$K:$K,Calculation!$A27,'Raw Data'!$E:$E,Calculation!D$23)</f>
        <v>40597000</v>
      </c>
      <c r="E27" s="16">
        <f>SUMIFS('Raw Data'!$J:$J,'Raw Data'!$K:$K,Calculation!$A27,'Raw Data'!$E:$E,Calculation!E$23)</f>
        <v>22572000</v>
      </c>
      <c r="F27" s="19">
        <f>SUMIFS('Raw Data'!$J:$J,'Raw Data'!$K:$K,Calculation!$A27,'Raw Data'!$E:$E,Calculation!F$23)</f>
        <v>22040000</v>
      </c>
    </row>
    <row r="28" spans="1:8" x14ac:dyDescent="0.25">
      <c r="A28" s="18" t="s">
        <v>51</v>
      </c>
      <c r="B28" s="16">
        <f>SUMIFS('Raw Data'!$J:$J,'Raw Data'!$K:$K,Calculation!$A28,'Raw Data'!$E:$E,Calculation!B$23)</f>
        <v>0</v>
      </c>
      <c r="C28" s="16">
        <f>SUMIFS('Raw Data'!$J:$J,'Raw Data'!$K:$K,Calculation!$A28,'Raw Data'!$E:$E,Calculation!C$23)</f>
        <v>155325000</v>
      </c>
      <c r="D28" s="16">
        <f>SUMIFS('Raw Data'!$J:$J,'Raw Data'!$K:$K,Calculation!$A28,'Raw Data'!$E:$E,Calculation!D$23)</f>
        <v>32161500</v>
      </c>
      <c r="E28" s="16">
        <f>SUMIFS('Raw Data'!$J:$J,'Raw Data'!$K:$K,Calculation!$A28,'Raw Data'!$E:$E,Calculation!E$23)</f>
        <v>62559000</v>
      </c>
      <c r="F28" s="19">
        <f>SUMIFS('Raw Data'!$J:$J,'Raw Data'!$K:$K,Calculation!$A28,'Raw Data'!$E:$E,Calculation!F$23)</f>
        <v>62640000</v>
      </c>
    </row>
    <row r="29" spans="1:8" x14ac:dyDescent="0.25">
      <c r="A29" s="18" t="s">
        <v>52</v>
      </c>
      <c r="B29" s="16">
        <f>SUMIFS('Raw Data'!$J:$J,'Raw Data'!$K:$K,Calculation!$A29,'Raw Data'!$E:$E,Calculation!B$23)</f>
        <v>6219200</v>
      </c>
      <c r="C29" s="16">
        <f>SUMIFS('Raw Data'!$J:$J,'Raw Data'!$K:$K,Calculation!$A29,'Raw Data'!$E:$E,Calculation!C$23)</f>
        <v>29350000</v>
      </c>
      <c r="D29" s="16">
        <f>SUMIFS('Raw Data'!$J:$J,'Raw Data'!$K:$K,Calculation!$A29,'Raw Data'!$E:$E,Calculation!D$23)</f>
        <v>5985000</v>
      </c>
      <c r="E29" s="16">
        <f>SUMIFS('Raw Data'!$J:$J,'Raw Data'!$K:$K,Calculation!$A29,'Raw Data'!$E:$E,Calculation!E$23)</f>
        <v>27445500</v>
      </c>
      <c r="F29" s="19">
        <f>SUMIFS('Raw Data'!$J:$J,'Raw Data'!$K:$K,Calculation!$A29,'Raw Data'!$E:$E,Calculation!F$23)</f>
        <v>63607000</v>
      </c>
    </row>
    <row r="30" spans="1:8" x14ac:dyDescent="0.25">
      <c r="A30" s="18" t="s">
        <v>53</v>
      </c>
      <c r="B30" s="16">
        <f>SUMIFS('Raw Data'!$J:$J,'Raw Data'!$K:$K,Calculation!$A30,'Raw Data'!$E:$E,Calculation!B$23)</f>
        <v>4545450</v>
      </c>
      <c r="C30" s="16">
        <f>SUMIFS('Raw Data'!$J:$J,'Raw Data'!$K:$K,Calculation!$A30,'Raw Data'!$E:$E,Calculation!C$23)</f>
        <v>76712500</v>
      </c>
      <c r="D30" s="16">
        <f>SUMIFS('Raw Data'!$J:$J,'Raw Data'!$K:$K,Calculation!$A30,'Raw Data'!$E:$E,Calculation!D$23)</f>
        <v>5985000</v>
      </c>
      <c r="E30" s="16">
        <f>SUMIFS('Raw Data'!$J:$J,'Raw Data'!$K:$K,Calculation!$A30,'Raw Data'!$E:$E,Calculation!E$23)</f>
        <v>5130000</v>
      </c>
      <c r="F30" s="19">
        <f>SUMIFS('Raw Data'!$J:$J,'Raw Data'!$K:$K,Calculation!$A30,'Raw Data'!$E:$E,Calculation!F$23)</f>
        <v>17640000</v>
      </c>
    </row>
    <row r="31" spans="1:8" x14ac:dyDescent="0.25">
      <c r="A31" s="18" t="s">
        <v>54</v>
      </c>
      <c r="B31" s="16">
        <f>SUMIFS('Raw Data'!$J:$J,'Raw Data'!$K:$K,Calculation!$A31,'Raw Data'!$E:$E,Calculation!B$23)</f>
        <v>5558850</v>
      </c>
      <c r="C31" s="16">
        <f>SUMIFS('Raw Data'!$J:$J,'Raw Data'!$K:$K,Calculation!$A31,'Raw Data'!$E:$E,Calculation!C$23)</f>
        <v>19475000</v>
      </c>
      <c r="D31" s="16">
        <f>SUMIFS('Raw Data'!$J:$J,'Raw Data'!$K:$K,Calculation!$A31,'Raw Data'!$E:$E,Calculation!D$23)</f>
        <v>59601750</v>
      </c>
      <c r="E31" s="16">
        <f>SUMIFS('Raw Data'!$J:$J,'Raw Data'!$K:$K,Calculation!$A31,'Raw Data'!$E:$E,Calculation!E$23)</f>
        <v>17100000</v>
      </c>
      <c r="F31" s="19">
        <f>SUMIFS('Raw Data'!$J:$J,'Raw Data'!$K:$K,Calculation!$A31,'Raw Data'!$E:$E,Calculation!F$23)</f>
        <v>68400000</v>
      </c>
    </row>
    <row r="32" spans="1:8" x14ac:dyDescent="0.25">
      <c r="A32" s="22" t="s">
        <v>55</v>
      </c>
      <c r="B32" s="23">
        <f>SUMIFS('Raw Data'!$J:$J,'Raw Data'!$K:$K,Calculation!$A32,'Raw Data'!$E:$E,Calculation!B$23)</f>
        <v>1575000</v>
      </c>
      <c r="C32" s="23">
        <f>SUMIFS('Raw Data'!$J:$J,'Raw Data'!$K:$K,Calculation!$A32,'Raw Data'!$E:$E,Calculation!C$23)</f>
        <v>73150000</v>
      </c>
      <c r="D32" s="23">
        <f>SUMIFS('Raw Data'!$J:$J,'Raw Data'!$K:$K,Calculation!$A32,'Raw Data'!$E:$E,Calculation!D$23)</f>
        <v>0</v>
      </c>
      <c r="E32" s="23">
        <f>SUMIFS('Raw Data'!$J:$J,'Raw Data'!$K:$K,Calculation!$A32,'Raw Data'!$E:$E,Calculation!E$23)</f>
        <v>27180000</v>
      </c>
      <c r="F32" s="24">
        <f>SUMIFS('Raw Data'!$J:$J,'Raw Data'!$K:$K,Calculation!$A32,'Raw Data'!$E:$E,Calculation!F$23)</f>
        <v>39900000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opLeftCell="C1" zoomScale="85" zoomScaleNormal="85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7" customWidth="1"/>
    <col min="2" max="2" width="13" customWidth="1"/>
    <col min="3" max="3" width="15" customWidth="1"/>
    <col min="4" max="5" width="16" customWidth="1"/>
    <col min="6" max="6" width="13" customWidth="1"/>
    <col min="7" max="7" width="8" customWidth="1"/>
    <col min="8" max="8" width="14" customWidth="1"/>
    <col min="9" max="9" width="10" customWidth="1"/>
    <col min="10" max="10" width="16" style="3" customWidth="1"/>
    <col min="11" max="11" width="10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5" t="s">
        <v>46</v>
      </c>
    </row>
    <row r="2" spans="1:15" x14ac:dyDescent="0.25">
      <c r="A2">
        <v>1</v>
      </c>
      <c r="B2" s="2">
        <v>46080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s="3">
        <v>2100000</v>
      </c>
      <c r="I2" s="4">
        <v>0.15</v>
      </c>
      <c r="J2" s="3">
        <f>G2*H2*(1-I2)</f>
        <v>7140000</v>
      </c>
      <c r="K2" t="str">
        <f>VLOOKUP(MONTH(B2),Master!G:H,2,0)</f>
        <v>Februari</v>
      </c>
    </row>
    <row r="3" spans="1:15" x14ac:dyDescent="0.25">
      <c r="A3">
        <v>2</v>
      </c>
      <c r="B3" s="2">
        <v>46075</v>
      </c>
      <c r="C3" t="s">
        <v>14</v>
      </c>
      <c r="D3" t="s">
        <v>15</v>
      </c>
      <c r="E3" t="s">
        <v>16</v>
      </c>
      <c r="F3" t="s">
        <v>17</v>
      </c>
      <c r="G3">
        <v>7</v>
      </c>
      <c r="H3" s="3">
        <v>3990000</v>
      </c>
      <c r="I3" s="4">
        <v>0</v>
      </c>
      <c r="J3" s="3">
        <f t="shared" ref="J3:J66" si="0">G3*H3*(1-I3)</f>
        <v>27930000</v>
      </c>
      <c r="K3" t="str">
        <f>VLOOKUP(MONTH(B3),Master!G:H,2,0)</f>
        <v>Februari</v>
      </c>
      <c r="O3" t="s">
        <v>65</v>
      </c>
    </row>
    <row r="4" spans="1:15" x14ac:dyDescent="0.25">
      <c r="A4">
        <v>3</v>
      </c>
      <c r="B4" s="2">
        <v>46070</v>
      </c>
      <c r="C4" t="s">
        <v>18</v>
      </c>
      <c r="D4" t="s">
        <v>19</v>
      </c>
      <c r="E4" t="s">
        <v>20</v>
      </c>
      <c r="F4" t="s">
        <v>21</v>
      </c>
      <c r="G4">
        <v>1</v>
      </c>
      <c r="H4" s="3">
        <v>495000</v>
      </c>
      <c r="I4" s="4">
        <v>0</v>
      </c>
      <c r="J4" s="3">
        <f t="shared" si="0"/>
        <v>495000</v>
      </c>
      <c r="K4" t="str">
        <f>VLOOKUP(MONTH(B4),Master!G:H,2,0)</f>
        <v>Februari</v>
      </c>
    </row>
    <row r="5" spans="1:15" x14ac:dyDescent="0.25">
      <c r="A5">
        <v>4</v>
      </c>
      <c r="B5" s="2">
        <v>46237</v>
      </c>
      <c r="C5" t="s">
        <v>18</v>
      </c>
      <c r="D5" t="s">
        <v>22</v>
      </c>
      <c r="E5" t="s">
        <v>23</v>
      </c>
      <c r="F5" t="s">
        <v>21</v>
      </c>
      <c r="G5">
        <v>5</v>
      </c>
      <c r="H5" s="3">
        <v>2565000</v>
      </c>
      <c r="I5" s="4">
        <v>0</v>
      </c>
      <c r="J5" s="3">
        <f t="shared" si="0"/>
        <v>12825000</v>
      </c>
      <c r="K5" t="str">
        <f>VLOOKUP(MONTH(B5),Master!G:H,2,0)</f>
        <v>Agustus</v>
      </c>
    </row>
    <row r="6" spans="1:15" x14ac:dyDescent="0.25">
      <c r="A6">
        <v>5</v>
      </c>
      <c r="B6" s="2">
        <v>46239</v>
      </c>
      <c r="C6" t="s">
        <v>24</v>
      </c>
      <c r="D6" t="s">
        <v>11</v>
      </c>
      <c r="E6" t="s">
        <v>12</v>
      </c>
      <c r="F6" t="s">
        <v>13</v>
      </c>
      <c r="G6">
        <v>4</v>
      </c>
      <c r="H6" s="3">
        <v>2100000</v>
      </c>
      <c r="I6" s="4">
        <v>0</v>
      </c>
      <c r="J6" s="3">
        <f t="shared" si="0"/>
        <v>8400000</v>
      </c>
      <c r="K6" t="str">
        <f>VLOOKUP(MONTH(B6),Master!G:H,2,0)</f>
        <v>Agustus</v>
      </c>
    </row>
    <row r="7" spans="1:15" x14ac:dyDescent="0.25">
      <c r="A7">
        <v>6</v>
      </c>
      <c r="B7" s="2">
        <v>46070</v>
      </c>
      <c r="C7" t="s">
        <v>25</v>
      </c>
      <c r="D7" t="s">
        <v>26</v>
      </c>
      <c r="E7" t="s">
        <v>27</v>
      </c>
      <c r="F7" t="s">
        <v>28</v>
      </c>
      <c r="G7">
        <v>6</v>
      </c>
      <c r="H7" s="3">
        <v>10450000</v>
      </c>
      <c r="I7" s="4">
        <v>0.05</v>
      </c>
      <c r="J7" s="3">
        <f t="shared" si="0"/>
        <v>59565000</v>
      </c>
      <c r="K7" t="str">
        <f>VLOOKUP(MONTH(B7),Master!G:H,2,0)</f>
        <v>Februari</v>
      </c>
    </row>
    <row r="8" spans="1:15" x14ac:dyDescent="0.25">
      <c r="A8">
        <v>7</v>
      </c>
      <c r="B8" s="2">
        <v>46045</v>
      </c>
      <c r="C8" t="s">
        <v>14</v>
      </c>
      <c r="D8" t="s">
        <v>22</v>
      </c>
      <c r="E8" t="s">
        <v>23</v>
      </c>
      <c r="F8" t="s">
        <v>21</v>
      </c>
      <c r="G8">
        <v>2</v>
      </c>
      <c r="H8" s="3">
        <v>2835000</v>
      </c>
      <c r="I8" s="4">
        <v>0</v>
      </c>
      <c r="J8" s="3">
        <f t="shared" si="0"/>
        <v>5670000</v>
      </c>
      <c r="K8" t="str">
        <f>VLOOKUP(MONTH(B8),Master!G:H,2,0)</f>
        <v>Januari</v>
      </c>
    </row>
    <row r="9" spans="1:15" x14ac:dyDescent="0.25">
      <c r="A9">
        <v>8</v>
      </c>
      <c r="B9" s="2">
        <v>46173</v>
      </c>
      <c r="C9" t="s">
        <v>14</v>
      </c>
      <c r="D9" t="s">
        <v>29</v>
      </c>
      <c r="E9" t="s">
        <v>16</v>
      </c>
      <c r="F9" t="s">
        <v>28</v>
      </c>
      <c r="G9">
        <v>4</v>
      </c>
      <c r="H9" s="3">
        <v>5510000</v>
      </c>
      <c r="I9" s="4">
        <v>0</v>
      </c>
      <c r="J9" s="3">
        <f t="shared" si="0"/>
        <v>22040000</v>
      </c>
      <c r="K9" t="str">
        <f>VLOOKUP(MONTH(B9),Master!G:H,2,0)</f>
        <v>Mei</v>
      </c>
    </row>
    <row r="10" spans="1:15" x14ac:dyDescent="0.25">
      <c r="A10">
        <v>9</v>
      </c>
      <c r="B10" s="2">
        <v>46139</v>
      </c>
      <c r="C10" t="s">
        <v>24</v>
      </c>
      <c r="D10" t="s">
        <v>26</v>
      </c>
      <c r="E10" t="s">
        <v>27</v>
      </c>
      <c r="F10" t="s">
        <v>13</v>
      </c>
      <c r="G10">
        <v>2</v>
      </c>
      <c r="H10" s="3">
        <v>9975000</v>
      </c>
      <c r="I10" s="4">
        <v>0.05</v>
      </c>
      <c r="J10" s="3">
        <f t="shared" si="0"/>
        <v>18952500</v>
      </c>
      <c r="K10" t="str">
        <f>VLOOKUP(MONTH(B10),Master!G:H,2,0)</f>
        <v>April</v>
      </c>
    </row>
    <row r="11" spans="1:15" x14ac:dyDescent="0.25">
      <c r="A11">
        <v>10</v>
      </c>
      <c r="B11" s="2">
        <v>46255</v>
      </c>
      <c r="C11" t="s">
        <v>14</v>
      </c>
      <c r="D11" t="s">
        <v>30</v>
      </c>
      <c r="E11" t="s">
        <v>12</v>
      </c>
      <c r="F11" t="s">
        <v>13</v>
      </c>
      <c r="G11">
        <v>6</v>
      </c>
      <c r="H11" s="3">
        <v>3200000</v>
      </c>
      <c r="I11" s="4">
        <v>0</v>
      </c>
      <c r="J11" s="3">
        <f t="shared" si="0"/>
        <v>19200000</v>
      </c>
      <c r="K11" t="str">
        <f>VLOOKUP(MONTH(B11),Master!G:H,2,0)</f>
        <v>Agustus</v>
      </c>
    </row>
    <row r="12" spans="1:15" x14ac:dyDescent="0.25">
      <c r="A12">
        <v>11</v>
      </c>
      <c r="B12" s="2">
        <v>46159</v>
      </c>
      <c r="C12" t="s">
        <v>14</v>
      </c>
      <c r="D12" t="s">
        <v>26</v>
      </c>
      <c r="E12" t="s">
        <v>27</v>
      </c>
      <c r="F12" t="s">
        <v>21</v>
      </c>
      <c r="G12">
        <v>3</v>
      </c>
      <c r="H12" s="3">
        <v>10450000</v>
      </c>
      <c r="I12" s="4">
        <v>0.15</v>
      </c>
      <c r="J12" s="3">
        <f t="shared" si="0"/>
        <v>26647500</v>
      </c>
      <c r="K12" t="str">
        <f>VLOOKUP(MONTH(B12),Master!G:H,2,0)</f>
        <v>Mei</v>
      </c>
    </row>
    <row r="13" spans="1:15" x14ac:dyDescent="0.25">
      <c r="A13">
        <v>12</v>
      </c>
      <c r="B13" s="2">
        <v>46148</v>
      </c>
      <c r="C13" t="s">
        <v>18</v>
      </c>
      <c r="D13" t="s">
        <v>22</v>
      </c>
      <c r="E13" t="s">
        <v>23</v>
      </c>
      <c r="F13" t="s">
        <v>31</v>
      </c>
      <c r="G13">
        <v>5</v>
      </c>
      <c r="H13" s="3">
        <v>2970000</v>
      </c>
      <c r="I13" s="4">
        <v>0</v>
      </c>
      <c r="J13" s="3">
        <f t="shared" si="0"/>
        <v>14850000</v>
      </c>
      <c r="K13" t="str">
        <f>VLOOKUP(MONTH(B13),Master!G:H,2,0)</f>
        <v>Mei</v>
      </c>
    </row>
    <row r="14" spans="1:15" x14ac:dyDescent="0.25">
      <c r="A14">
        <v>13</v>
      </c>
      <c r="B14" s="2">
        <v>46189</v>
      </c>
      <c r="C14" t="s">
        <v>10</v>
      </c>
      <c r="D14" t="s">
        <v>19</v>
      </c>
      <c r="E14" t="s">
        <v>20</v>
      </c>
      <c r="F14" t="s">
        <v>17</v>
      </c>
      <c r="G14">
        <v>6</v>
      </c>
      <c r="H14" s="3">
        <v>472000</v>
      </c>
      <c r="I14" s="4">
        <v>0.05</v>
      </c>
      <c r="J14" s="3">
        <f t="shared" si="0"/>
        <v>2690400</v>
      </c>
      <c r="K14" t="str">
        <f>VLOOKUP(MONTH(B14),Master!G:H,2,0)</f>
        <v>Juni</v>
      </c>
    </row>
    <row r="15" spans="1:15" x14ac:dyDescent="0.25">
      <c r="A15">
        <v>14</v>
      </c>
      <c r="B15" s="2">
        <v>46056</v>
      </c>
      <c r="C15" t="s">
        <v>18</v>
      </c>
      <c r="D15" t="s">
        <v>29</v>
      </c>
      <c r="E15" t="s">
        <v>16</v>
      </c>
      <c r="F15" t="s">
        <v>32</v>
      </c>
      <c r="G15">
        <v>6</v>
      </c>
      <c r="H15" s="3">
        <v>5800000</v>
      </c>
      <c r="I15" s="4">
        <v>0.15</v>
      </c>
      <c r="J15" s="3">
        <f t="shared" si="0"/>
        <v>29580000</v>
      </c>
      <c r="K15" t="str">
        <f>VLOOKUP(MONTH(B15),Master!G:H,2,0)</f>
        <v>Februari</v>
      </c>
    </row>
    <row r="16" spans="1:15" x14ac:dyDescent="0.25">
      <c r="A16">
        <v>15</v>
      </c>
      <c r="B16" s="2">
        <v>46278</v>
      </c>
      <c r="C16" t="s">
        <v>25</v>
      </c>
      <c r="D16" t="s">
        <v>22</v>
      </c>
      <c r="E16" t="s">
        <v>23</v>
      </c>
      <c r="F16" t="s">
        <v>13</v>
      </c>
      <c r="G16">
        <v>5</v>
      </c>
      <c r="H16" s="3">
        <v>2700000</v>
      </c>
      <c r="I16" s="4">
        <v>0</v>
      </c>
      <c r="J16" s="3">
        <f t="shared" si="0"/>
        <v>13500000</v>
      </c>
      <c r="K16" t="str">
        <f>VLOOKUP(MONTH(B16),Master!G:H,2,0)</f>
        <v>September</v>
      </c>
    </row>
    <row r="17" spans="1:11" x14ac:dyDescent="0.25">
      <c r="A17">
        <v>16</v>
      </c>
      <c r="B17" s="2">
        <v>46157</v>
      </c>
      <c r="C17" t="s">
        <v>14</v>
      </c>
      <c r="D17" t="s">
        <v>29</v>
      </c>
      <c r="E17" t="s">
        <v>16</v>
      </c>
      <c r="F17" t="s">
        <v>31</v>
      </c>
      <c r="G17">
        <v>7</v>
      </c>
      <c r="H17" s="3">
        <v>5800000</v>
      </c>
      <c r="I17" s="4">
        <v>0</v>
      </c>
      <c r="J17" s="3">
        <f t="shared" si="0"/>
        <v>40600000</v>
      </c>
      <c r="K17" t="str">
        <f>VLOOKUP(MONTH(B17),Master!G:H,2,0)</f>
        <v>Mei</v>
      </c>
    </row>
    <row r="18" spans="1:11" x14ac:dyDescent="0.25">
      <c r="A18">
        <v>17</v>
      </c>
      <c r="B18" s="2">
        <v>46093</v>
      </c>
      <c r="C18" t="s">
        <v>33</v>
      </c>
      <c r="D18" t="s">
        <v>22</v>
      </c>
      <c r="E18" t="s">
        <v>23</v>
      </c>
      <c r="F18" t="s">
        <v>17</v>
      </c>
      <c r="G18">
        <v>1</v>
      </c>
      <c r="H18" s="3">
        <v>2565000</v>
      </c>
      <c r="I18" s="4">
        <v>0</v>
      </c>
      <c r="J18" s="3">
        <f t="shared" si="0"/>
        <v>2565000</v>
      </c>
      <c r="K18" t="str">
        <f>VLOOKUP(MONTH(B18),Master!G:H,2,0)</f>
        <v>Maret</v>
      </c>
    </row>
    <row r="19" spans="1:11" x14ac:dyDescent="0.25">
      <c r="A19">
        <v>18</v>
      </c>
      <c r="B19" s="2">
        <v>46104</v>
      </c>
      <c r="C19" t="s">
        <v>14</v>
      </c>
      <c r="D19" t="s">
        <v>34</v>
      </c>
      <c r="E19" t="s">
        <v>23</v>
      </c>
      <c r="F19" t="s">
        <v>21</v>
      </c>
      <c r="G19">
        <v>2</v>
      </c>
      <c r="H19" s="3">
        <v>1890000</v>
      </c>
      <c r="I19" s="4">
        <v>0.05</v>
      </c>
      <c r="J19" s="3">
        <f t="shared" si="0"/>
        <v>3591000</v>
      </c>
      <c r="K19" t="str">
        <f>VLOOKUP(MONTH(B19),Master!G:H,2,0)</f>
        <v>Maret</v>
      </c>
    </row>
    <row r="20" spans="1:11" x14ac:dyDescent="0.25">
      <c r="A20">
        <v>19</v>
      </c>
      <c r="B20" s="2">
        <v>46262</v>
      </c>
      <c r="C20" t="s">
        <v>33</v>
      </c>
      <c r="D20" t="s">
        <v>11</v>
      </c>
      <c r="E20" t="s">
        <v>12</v>
      </c>
      <c r="F20" t="s">
        <v>21</v>
      </c>
      <c r="G20">
        <v>1</v>
      </c>
      <c r="H20" s="3">
        <v>1995000</v>
      </c>
      <c r="I20" s="4">
        <v>0.15</v>
      </c>
      <c r="J20" s="3">
        <f t="shared" si="0"/>
        <v>1695750</v>
      </c>
      <c r="K20" t="str">
        <f>VLOOKUP(MONTH(B20),Master!G:H,2,0)</f>
        <v>Agustus</v>
      </c>
    </row>
    <row r="21" spans="1:11" x14ac:dyDescent="0.25">
      <c r="A21">
        <v>20</v>
      </c>
      <c r="B21" s="2">
        <v>46159</v>
      </c>
      <c r="C21" t="s">
        <v>14</v>
      </c>
      <c r="D21" t="s">
        <v>30</v>
      </c>
      <c r="E21" t="s">
        <v>12</v>
      </c>
      <c r="F21" t="s">
        <v>17</v>
      </c>
      <c r="G21">
        <v>5</v>
      </c>
      <c r="H21" s="3">
        <v>3360000</v>
      </c>
      <c r="I21" s="4">
        <v>0</v>
      </c>
      <c r="J21" s="3">
        <f t="shared" si="0"/>
        <v>16800000</v>
      </c>
      <c r="K21" t="str">
        <f>VLOOKUP(MONTH(B21),Master!G:H,2,0)</f>
        <v>Mei</v>
      </c>
    </row>
    <row r="22" spans="1:11" x14ac:dyDescent="0.25">
      <c r="A22">
        <v>21</v>
      </c>
      <c r="B22" s="2">
        <v>46255</v>
      </c>
      <c r="C22" t="s">
        <v>10</v>
      </c>
      <c r="D22" t="s">
        <v>11</v>
      </c>
      <c r="E22" t="s">
        <v>12</v>
      </c>
      <c r="F22" t="s">
        <v>21</v>
      </c>
      <c r="G22">
        <v>3</v>
      </c>
      <c r="H22" s="3">
        <v>2310000</v>
      </c>
      <c r="I22" s="4">
        <v>0</v>
      </c>
      <c r="J22" s="3">
        <f t="shared" si="0"/>
        <v>6930000</v>
      </c>
      <c r="K22" t="str">
        <f>VLOOKUP(MONTH(B22),Master!G:H,2,0)</f>
        <v>Agustus</v>
      </c>
    </row>
    <row r="23" spans="1:11" x14ac:dyDescent="0.25">
      <c r="A23">
        <v>22</v>
      </c>
      <c r="B23" s="2">
        <v>46175</v>
      </c>
      <c r="C23" t="s">
        <v>14</v>
      </c>
      <c r="D23" t="s">
        <v>15</v>
      </c>
      <c r="E23" t="s">
        <v>16</v>
      </c>
      <c r="F23" t="s">
        <v>21</v>
      </c>
      <c r="G23">
        <v>4</v>
      </c>
      <c r="H23" s="3">
        <v>4200000</v>
      </c>
      <c r="I23" s="4">
        <v>0.05</v>
      </c>
      <c r="J23" s="3">
        <f t="shared" si="0"/>
        <v>15960000</v>
      </c>
      <c r="K23" t="str">
        <f>VLOOKUP(MONTH(B23),Master!G:H,2,0)</f>
        <v>Juni</v>
      </c>
    </row>
    <row r="24" spans="1:11" x14ac:dyDescent="0.25">
      <c r="A24">
        <v>23</v>
      </c>
      <c r="B24" s="2">
        <v>46105</v>
      </c>
      <c r="C24" t="s">
        <v>33</v>
      </c>
      <c r="D24" t="s">
        <v>15</v>
      </c>
      <c r="E24" t="s">
        <v>16</v>
      </c>
      <c r="F24" t="s">
        <v>17</v>
      </c>
      <c r="G24">
        <v>6</v>
      </c>
      <c r="H24" s="3">
        <v>4410000</v>
      </c>
      <c r="I24" s="4">
        <v>0</v>
      </c>
      <c r="J24" s="3">
        <f t="shared" si="0"/>
        <v>26460000</v>
      </c>
      <c r="K24" t="str">
        <f>VLOOKUP(MONTH(B24),Master!G:H,2,0)</f>
        <v>Maret</v>
      </c>
    </row>
    <row r="25" spans="1:11" x14ac:dyDescent="0.25">
      <c r="A25">
        <v>24</v>
      </c>
      <c r="B25" s="2">
        <v>46080</v>
      </c>
      <c r="C25" t="s">
        <v>24</v>
      </c>
      <c r="D25" t="s">
        <v>11</v>
      </c>
      <c r="E25" t="s">
        <v>12</v>
      </c>
      <c r="F25" t="s">
        <v>13</v>
      </c>
      <c r="G25">
        <v>1</v>
      </c>
      <c r="H25" s="3">
        <v>2100000</v>
      </c>
      <c r="I25" s="4">
        <v>0.1</v>
      </c>
      <c r="J25" s="3">
        <f t="shared" si="0"/>
        <v>1890000</v>
      </c>
      <c r="K25" t="str">
        <f>VLOOKUP(MONTH(B25),Master!G:H,2,0)</f>
        <v>Februari</v>
      </c>
    </row>
    <row r="26" spans="1:11" x14ac:dyDescent="0.25">
      <c r="A26">
        <v>25</v>
      </c>
      <c r="B26" s="2">
        <v>46063</v>
      </c>
      <c r="C26" t="s">
        <v>10</v>
      </c>
      <c r="D26" t="s">
        <v>22</v>
      </c>
      <c r="E26" t="s">
        <v>23</v>
      </c>
      <c r="F26" t="s">
        <v>17</v>
      </c>
      <c r="G26">
        <v>3</v>
      </c>
      <c r="H26" s="3">
        <v>2700000</v>
      </c>
      <c r="I26" s="4">
        <v>0.15</v>
      </c>
      <c r="J26" s="3">
        <f t="shared" si="0"/>
        <v>6885000</v>
      </c>
      <c r="K26" t="str">
        <f>VLOOKUP(MONTH(B26),Master!G:H,2,0)</f>
        <v>Februari</v>
      </c>
    </row>
    <row r="27" spans="1:11" x14ac:dyDescent="0.25">
      <c r="A27">
        <v>26</v>
      </c>
      <c r="B27" s="2">
        <v>46266</v>
      </c>
      <c r="C27" t="s">
        <v>33</v>
      </c>
      <c r="D27" t="s">
        <v>35</v>
      </c>
      <c r="E27" t="s">
        <v>20</v>
      </c>
      <c r="F27" t="s">
        <v>28</v>
      </c>
      <c r="G27">
        <v>7</v>
      </c>
      <c r="H27" s="3">
        <v>250000</v>
      </c>
      <c r="I27" s="4">
        <v>0.1</v>
      </c>
      <c r="J27" s="3">
        <f t="shared" si="0"/>
        <v>1575000</v>
      </c>
      <c r="K27" t="str">
        <f>VLOOKUP(MONTH(B27),Master!G:H,2,0)</f>
        <v>September</v>
      </c>
    </row>
    <row r="28" spans="1:11" x14ac:dyDescent="0.25">
      <c r="A28">
        <v>27</v>
      </c>
      <c r="B28" s="2">
        <v>46125</v>
      </c>
      <c r="C28" t="s">
        <v>14</v>
      </c>
      <c r="D28" t="s">
        <v>11</v>
      </c>
      <c r="E28" t="s">
        <v>12</v>
      </c>
      <c r="F28" t="s">
        <v>31</v>
      </c>
      <c r="G28">
        <v>6</v>
      </c>
      <c r="H28" s="3">
        <v>2205000</v>
      </c>
      <c r="I28" s="4">
        <v>0.1</v>
      </c>
      <c r="J28" s="3">
        <f t="shared" si="0"/>
        <v>11907000</v>
      </c>
      <c r="K28" t="str">
        <f>VLOOKUP(MONTH(B28),Master!G:H,2,0)</f>
        <v>April</v>
      </c>
    </row>
    <row r="29" spans="1:11" x14ac:dyDescent="0.25">
      <c r="A29">
        <v>28</v>
      </c>
      <c r="B29" s="2">
        <v>46254</v>
      </c>
      <c r="C29" t="s">
        <v>10</v>
      </c>
      <c r="D29" t="s">
        <v>19</v>
      </c>
      <c r="E29" t="s">
        <v>20</v>
      </c>
      <c r="F29" t="s">
        <v>13</v>
      </c>
      <c r="G29">
        <v>2</v>
      </c>
      <c r="H29" s="3">
        <v>450000</v>
      </c>
      <c r="I29" s="4">
        <v>0</v>
      </c>
      <c r="J29" s="3">
        <f t="shared" si="0"/>
        <v>900000</v>
      </c>
      <c r="K29" t="str">
        <f>VLOOKUP(MONTH(B29),Master!G:H,2,0)</f>
        <v>Agustus</v>
      </c>
    </row>
    <row r="30" spans="1:11" x14ac:dyDescent="0.25">
      <c r="A30">
        <v>29</v>
      </c>
      <c r="B30" s="2">
        <v>46140</v>
      </c>
      <c r="C30" t="s">
        <v>33</v>
      </c>
      <c r="D30" t="s">
        <v>19</v>
      </c>
      <c r="E30" t="s">
        <v>20</v>
      </c>
      <c r="F30" t="s">
        <v>17</v>
      </c>
      <c r="G30">
        <v>2</v>
      </c>
      <c r="H30" s="3">
        <v>428000</v>
      </c>
      <c r="I30" s="4">
        <v>0</v>
      </c>
      <c r="J30" s="3">
        <f t="shared" si="0"/>
        <v>856000</v>
      </c>
      <c r="K30" t="str">
        <f>VLOOKUP(MONTH(B30),Master!G:H,2,0)</f>
        <v>April</v>
      </c>
    </row>
    <row r="31" spans="1:11" x14ac:dyDescent="0.25">
      <c r="A31">
        <v>30</v>
      </c>
      <c r="B31" s="2">
        <v>46057</v>
      </c>
      <c r="C31" t="s">
        <v>10</v>
      </c>
      <c r="D31" t="s">
        <v>30</v>
      </c>
      <c r="E31" t="s">
        <v>12</v>
      </c>
      <c r="F31" t="s">
        <v>17</v>
      </c>
      <c r="G31">
        <v>4</v>
      </c>
      <c r="H31" s="3">
        <v>3200000</v>
      </c>
      <c r="I31" s="4">
        <v>0.15</v>
      </c>
      <c r="J31" s="3">
        <f t="shared" si="0"/>
        <v>10880000</v>
      </c>
      <c r="K31" t="str">
        <f>VLOOKUP(MONTH(B31),Master!G:H,2,0)</f>
        <v>Februari</v>
      </c>
    </row>
    <row r="32" spans="1:11" x14ac:dyDescent="0.25">
      <c r="A32">
        <v>31</v>
      </c>
      <c r="B32" s="2">
        <v>46271</v>
      </c>
      <c r="C32" t="s">
        <v>18</v>
      </c>
      <c r="D32" t="s">
        <v>15</v>
      </c>
      <c r="E32" t="s">
        <v>16</v>
      </c>
      <c r="F32" t="s">
        <v>13</v>
      </c>
      <c r="G32">
        <v>8</v>
      </c>
      <c r="H32" s="3">
        <v>4200000</v>
      </c>
      <c r="I32" s="4">
        <v>0.05</v>
      </c>
      <c r="J32" s="3">
        <f t="shared" si="0"/>
        <v>31920000</v>
      </c>
      <c r="K32" t="str">
        <f>VLOOKUP(MONTH(B32),Master!G:H,2,0)</f>
        <v>September</v>
      </c>
    </row>
    <row r="33" spans="1:11" x14ac:dyDescent="0.25">
      <c r="A33">
        <v>32</v>
      </c>
      <c r="B33" s="2">
        <v>46231</v>
      </c>
      <c r="C33" t="s">
        <v>18</v>
      </c>
      <c r="D33" t="s">
        <v>26</v>
      </c>
      <c r="E33" t="s">
        <v>27</v>
      </c>
      <c r="F33" t="s">
        <v>17</v>
      </c>
      <c r="G33">
        <v>7</v>
      </c>
      <c r="H33" s="3">
        <v>9500000</v>
      </c>
      <c r="I33" s="4">
        <v>0.05</v>
      </c>
      <c r="J33" s="3">
        <f t="shared" si="0"/>
        <v>63175000</v>
      </c>
      <c r="K33" t="str">
        <f>VLOOKUP(MONTH(B33),Master!G:H,2,0)</f>
        <v>Juli</v>
      </c>
    </row>
    <row r="34" spans="1:11" x14ac:dyDescent="0.25">
      <c r="A34">
        <v>33</v>
      </c>
      <c r="B34" s="2">
        <v>46233</v>
      </c>
      <c r="C34" t="s">
        <v>25</v>
      </c>
      <c r="D34" t="s">
        <v>36</v>
      </c>
      <c r="E34" t="s">
        <v>27</v>
      </c>
      <c r="F34" t="s">
        <v>32</v>
      </c>
      <c r="G34">
        <v>2</v>
      </c>
      <c r="H34" s="3">
        <v>7125000</v>
      </c>
      <c r="I34" s="4">
        <v>0.05</v>
      </c>
      <c r="J34" s="3">
        <f t="shared" si="0"/>
        <v>13537500</v>
      </c>
      <c r="K34" t="str">
        <f>VLOOKUP(MONTH(B34),Master!G:H,2,0)</f>
        <v>Juli</v>
      </c>
    </row>
    <row r="35" spans="1:11" x14ac:dyDescent="0.25">
      <c r="A35">
        <v>34</v>
      </c>
      <c r="B35" s="2">
        <v>46196</v>
      </c>
      <c r="C35" t="s">
        <v>10</v>
      </c>
      <c r="D35" t="s">
        <v>19</v>
      </c>
      <c r="E35" t="s">
        <v>20</v>
      </c>
      <c r="F35" t="s">
        <v>13</v>
      </c>
      <c r="G35">
        <v>4</v>
      </c>
      <c r="H35" s="3">
        <v>495000</v>
      </c>
      <c r="I35" s="4">
        <v>0.05</v>
      </c>
      <c r="J35" s="3">
        <f t="shared" si="0"/>
        <v>1881000</v>
      </c>
      <c r="K35" t="str">
        <f>VLOOKUP(MONTH(B35),Master!G:H,2,0)</f>
        <v>Juni</v>
      </c>
    </row>
    <row r="36" spans="1:11" x14ac:dyDescent="0.25">
      <c r="A36">
        <v>35</v>
      </c>
      <c r="B36" s="2">
        <v>46094</v>
      </c>
      <c r="C36" t="s">
        <v>25</v>
      </c>
      <c r="D36" t="s">
        <v>35</v>
      </c>
      <c r="E36" t="s">
        <v>20</v>
      </c>
      <c r="F36" t="s">
        <v>28</v>
      </c>
      <c r="G36">
        <v>8</v>
      </c>
      <c r="H36" s="3">
        <v>250000</v>
      </c>
      <c r="I36" s="4">
        <v>0</v>
      </c>
      <c r="J36" s="3">
        <f t="shared" si="0"/>
        <v>2000000</v>
      </c>
      <c r="K36" t="str">
        <f>VLOOKUP(MONTH(B36),Master!G:H,2,0)</f>
        <v>Maret</v>
      </c>
    </row>
    <row r="37" spans="1:11" x14ac:dyDescent="0.25">
      <c r="A37">
        <v>36</v>
      </c>
      <c r="B37" s="2">
        <v>46249</v>
      </c>
      <c r="C37" t="s">
        <v>33</v>
      </c>
      <c r="D37" t="s">
        <v>26</v>
      </c>
      <c r="E37" t="s">
        <v>27</v>
      </c>
      <c r="F37" t="s">
        <v>17</v>
      </c>
      <c r="G37">
        <v>1</v>
      </c>
      <c r="H37" s="3">
        <v>9025000</v>
      </c>
      <c r="I37" s="4">
        <v>0</v>
      </c>
      <c r="J37" s="3">
        <f t="shared" si="0"/>
        <v>9025000</v>
      </c>
      <c r="K37" t="str">
        <f>VLOOKUP(MONTH(B37),Master!G:H,2,0)</f>
        <v>Agustus</v>
      </c>
    </row>
    <row r="38" spans="1:11" x14ac:dyDescent="0.25">
      <c r="A38">
        <v>37</v>
      </c>
      <c r="B38" s="2">
        <v>46108</v>
      </c>
      <c r="C38" t="s">
        <v>25</v>
      </c>
      <c r="D38" t="s">
        <v>22</v>
      </c>
      <c r="E38" t="s">
        <v>23</v>
      </c>
      <c r="F38" t="s">
        <v>31</v>
      </c>
      <c r="G38">
        <v>4</v>
      </c>
      <c r="H38" s="3">
        <v>2835000</v>
      </c>
      <c r="I38" s="4">
        <v>0</v>
      </c>
      <c r="J38" s="3">
        <f t="shared" si="0"/>
        <v>11340000</v>
      </c>
      <c r="K38" t="str">
        <f>VLOOKUP(MONTH(B38),Master!G:H,2,0)</f>
        <v>Maret</v>
      </c>
    </row>
    <row r="39" spans="1:11" x14ac:dyDescent="0.25">
      <c r="A39">
        <v>38</v>
      </c>
      <c r="B39" s="2">
        <v>46107</v>
      </c>
      <c r="C39" t="s">
        <v>25</v>
      </c>
      <c r="D39" t="s">
        <v>36</v>
      </c>
      <c r="E39" t="s">
        <v>27</v>
      </c>
      <c r="F39" t="s">
        <v>31</v>
      </c>
      <c r="G39">
        <v>5</v>
      </c>
      <c r="H39" s="3">
        <v>7875000</v>
      </c>
      <c r="I39" s="4">
        <v>0.05</v>
      </c>
      <c r="J39" s="3">
        <f t="shared" si="0"/>
        <v>37406250</v>
      </c>
      <c r="K39" t="str">
        <f>VLOOKUP(MONTH(B39),Master!G:H,2,0)</f>
        <v>Maret</v>
      </c>
    </row>
    <row r="40" spans="1:11" x14ac:dyDescent="0.25">
      <c r="A40">
        <v>39</v>
      </c>
      <c r="B40" s="2">
        <v>46239</v>
      </c>
      <c r="C40" t="s">
        <v>14</v>
      </c>
      <c r="D40" t="s">
        <v>15</v>
      </c>
      <c r="E40" t="s">
        <v>16</v>
      </c>
      <c r="F40" t="s">
        <v>32</v>
      </c>
      <c r="G40">
        <v>8</v>
      </c>
      <c r="H40" s="3">
        <v>4200000</v>
      </c>
      <c r="I40" s="4">
        <v>0</v>
      </c>
      <c r="J40" s="3">
        <f t="shared" si="0"/>
        <v>33600000</v>
      </c>
      <c r="K40" t="str">
        <f>VLOOKUP(MONTH(B40),Master!G:H,2,0)</f>
        <v>Agustus</v>
      </c>
    </row>
    <row r="41" spans="1:11" x14ac:dyDescent="0.25">
      <c r="A41">
        <v>40</v>
      </c>
      <c r="B41" s="2">
        <v>46174</v>
      </c>
      <c r="C41" t="s">
        <v>18</v>
      </c>
      <c r="D41" t="s">
        <v>36</v>
      </c>
      <c r="E41" t="s">
        <v>27</v>
      </c>
      <c r="F41" t="s">
        <v>21</v>
      </c>
      <c r="G41">
        <v>1</v>
      </c>
      <c r="H41" s="3">
        <v>7500000</v>
      </c>
      <c r="I41" s="4">
        <v>0</v>
      </c>
      <c r="J41" s="3">
        <f t="shared" si="0"/>
        <v>7500000</v>
      </c>
      <c r="K41" t="str">
        <f>VLOOKUP(MONTH(B41),Master!G:H,2,0)</f>
        <v>Juni</v>
      </c>
    </row>
    <row r="42" spans="1:11" x14ac:dyDescent="0.25">
      <c r="A42">
        <v>41</v>
      </c>
      <c r="B42" s="2">
        <v>46048</v>
      </c>
      <c r="C42" t="s">
        <v>33</v>
      </c>
      <c r="D42" t="s">
        <v>22</v>
      </c>
      <c r="E42" t="s">
        <v>23</v>
      </c>
      <c r="F42" t="s">
        <v>21</v>
      </c>
      <c r="G42">
        <v>3</v>
      </c>
      <c r="H42" s="3">
        <v>2565000</v>
      </c>
      <c r="I42" s="4">
        <v>0.1</v>
      </c>
      <c r="J42" s="3">
        <f t="shared" si="0"/>
        <v>6925500</v>
      </c>
      <c r="K42" t="str">
        <f>VLOOKUP(MONTH(B42),Master!G:H,2,0)</f>
        <v>Januari</v>
      </c>
    </row>
    <row r="43" spans="1:11" x14ac:dyDescent="0.25">
      <c r="A43">
        <v>42</v>
      </c>
      <c r="B43" s="2">
        <v>46064</v>
      </c>
      <c r="C43" t="s">
        <v>18</v>
      </c>
      <c r="D43" t="s">
        <v>26</v>
      </c>
      <c r="E43" t="s">
        <v>27</v>
      </c>
      <c r="F43" t="s">
        <v>21</v>
      </c>
      <c r="G43">
        <v>2</v>
      </c>
      <c r="H43" s="3">
        <v>9500000</v>
      </c>
      <c r="I43" s="4">
        <v>0.05</v>
      </c>
      <c r="J43" s="3">
        <f t="shared" si="0"/>
        <v>18050000</v>
      </c>
      <c r="K43" t="str">
        <f>VLOOKUP(MONTH(B43),Master!G:H,2,0)</f>
        <v>Februari</v>
      </c>
    </row>
    <row r="44" spans="1:11" x14ac:dyDescent="0.25">
      <c r="A44">
        <v>43</v>
      </c>
      <c r="B44" s="2">
        <v>46084</v>
      </c>
      <c r="C44" t="s">
        <v>33</v>
      </c>
      <c r="D44" t="s">
        <v>19</v>
      </c>
      <c r="E44" t="s">
        <v>20</v>
      </c>
      <c r="F44" t="s">
        <v>21</v>
      </c>
      <c r="G44">
        <v>1</v>
      </c>
      <c r="H44" s="3">
        <v>495000</v>
      </c>
      <c r="I44" s="4">
        <v>0</v>
      </c>
      <c r="J44" s="3">
        <f t="shared" si="0"/>
        <v>495000</v>
      </c>
      <c r="K44" t="str">
        <f>VLOOKUP(MONTH(B44),Master!G:H,2,0)</f>
        <v>Maret</v>
      </c>
    </row>
    <row r="45" spans="1:11" x14ac:dyDescent="0.25">
      <c r="A45">
        <v>44</v>
      </c>
      <c r="B45" s="2">
        <v>46237</v>
      </c>
      <c r="C45" t="s">
        <v>14</v>
      </c>
      <c r="D45" t="s">
        <v>29</v>
      </c>
      <c r="E45" t="s">
        <v>16</v>
      </c>
      <c r="F45" t="s">
        <v>21</v>
      </c>
      <c r="G45">
        <v>6</v>
      </c>
      <c r="H45" s="3">
        <v>5800000</v>
      </c>
      <c r="I45" s="4">
        <v>0</v>
      </c>
      <c r="J45" s="3">
        <f t="shared" si="0"/>
        <v>34800000</v>
      </c>
      <c r="K45" t="str">
        <f>VLOOKUP(MONTH(B45),Master!G:H,2,0)</f>
        <v>Agustus</v>
      </c>
    </row>
    <row r="46" spans="1:11" x14ac:dyDescent="0.25">
      <c r="A46">
        <v>45</v>
      </c>
      <c r="B46" s="2">
        <v>46183</v>
      </c>
      <c r="C46" t="s">
        <v>18</v>
      </c>
      <c r="D46" t="s">
        <v>11</v>
      </c>
      <c r="E46" t="s">
        <v>12</v>
      </c>
      <c r="F46" t="s">
        <v>31</v>
      </c>
      <c r="G46">
        <v>3</v>
      </c>
      <c r="H46" s="3">
        <v>2100000</v>
      </c>
      <c r="I46" s="4">
        <v>0.05</v>
      </c>
      <c r="J46" s="3">
        <f t="shared" si="0"/>
        <v>5985000</v>
      </c>
      <c r="K46" t="str">
        <f>VLOOKUP(MONTH(B46),Master!G:H,2,0)</f>
        <v>Juni</v>
      </c>
    </row>
    <row r="47" spans="1:11" x14ac:dyDescent="0.25">
      <c r="A47">
        <v>46</v>
      </c>
      <c r="B47" s="2">
        <v>46184</v>
      </c>
      <c r="C47" t="s">
        <v>10</v>
      </c>
      <c r="D47" t="s">
        <v>36</v>
      </c>
      <c r="E47" t="s">
        <v>27</v>
      </c>
      <c r="F47" t="s">
        <v>31</v>
      </c>
      <c r="G47">
        <v>2</v>
      </c>
      <c r="H47" s="3">
        <v>7125000</v>
      </c>
      <c r="I47" s="4">
        <v>0.1</v>
      </c>
      <c r="J47" s="3">
        <f t="shared" si="0"/>
        <v>12825000</v>
      </c>
      <c r="K47" t="str">
        <f>VLOOKUP(MONTH(B47),Master!G:H,2,0)</f>
        <v>Juni</v>
      </c>
    </row>
    <row r="48" spans="1:11" x14ac:dyDescent="0.25">
      <c r="A48">
        <v>47</v>
      </c>
      <c r="B48" s="2">
        <v>46132</v>
      </c>
      <c r="C48" t="s">
        <v>33</v>
      </c>
      <c r="D48" t="s">
        <v>11</v>
      </c>
      <c r="E48" t="s">
        <v>12</v>
      </c>
      <c r="F48" t="s">
        <v>13</v>
      </c>
      <c r="G48">
        <v>6</v>
      </c>
      <c r="H48" s="3">
        <v>1995000</v>
      </c>
      <c r="I48" s="4">
        <v>0</v>
      </c>
      <c r="J48" s="3">
        <f t="shared" si="0"/>
        <v>11970000</v>
      </c>
      <c r="K48" t="str">
        <f>VLOOKUP(MONTH(B48),Master!G:H,2,0)</f>
        <v>April</v>
      </c>
    </row>
    <row r="49" spans="1:11" x14ac:dyDescent="0.25">
      <c r="A49">
        <v>48</v>
      </c>
      <c r="B49" s="2">
        <v>46212</v>
      </c>
      <c r="C49" t="s">
        <v>24</v>
      </c>
      <c r="D49" t="s">
        <v>35</v>
      </c>
      <c r="E49" t="s">
        <v>20</v>
      </c>
      <c r="F49" t="s">
        <v>31</v>
      </c>
      <c r="G49">
        <v>5</v>
      </c>
      <c r="H49" s="3">
        <v>275000</v>
      </c>
      <c r="I49" s="4">
        <v>0.15</v>
      </c>
      <c r="J49" s="3">
        <f t="shared" si="0"/>
        <v>1168750</v>
      </c>
      <c r="K49" t="str">
        <f>VLOOKUP(MONTH(B49),Master!G:H,2,0)</f>
        <v>Juli</v>
      </c>
    </row>
    <row r="50" spans="1:11" x14ac:dyDescent="0.25">
      <c r="A50">
        <v>49</v>
      </c>
      <c r="B50" s="2">
        <v>46293</v>
      </c>
      <c r="C50" t="s">
        <v>10</v>
      </c>
      <c r="D50" t="s">
        <v>15</v>
      </c>
      <c r="E50" t="s">
        <v>16</v>
      </c>
      <c r="F50" t="s">
        <v>28</v>
      </c>
      <c r="G50">
        <v>2</v>
      </c>
      <c r="H50" s="3">
        <v>4200000</v>
      </c>
      <c r="I50" s="4">
        <v>0.05</v>
      </c>
      <c r="J50" s="3">
        <f t="shared" si="0"/>
        <v>7980000</v>
      </c>
      <c r="K50" t="str">
        <f>VLOOKUP(MONTH(B50),Master!G:H,2,0)</f>
        <v>September</v>
      </c>
    </row>
    <row r="51" spans="1:11" x14ac:dyDescent="0.25">
      <c r="A51">
        <v>50</v>
      </c>
      <c r="B51" s="2">
        <v>46082</v>
      </c>
      <c r="C51" t="s">
        <v>10</v>
      </c>
      <c r="D51" t="s">
        <v>15</v>
      </c>
      <c r="E51" t="s">
        <v>16</v>
      </c>
      <c r="F51" t="s">
        <v>13</v>
      </c>
      <c r="G51">
        <v>5</v>
      </c>
      <c r="H51" s="3">
        <v>4200000</v>
      </c>
      <c r="I51" s="4">
        <v>0.1</v>
      </c>
      <c r="J51" s="3">
        <f t="shared" si="0"/>
        <v>18900000</v>
      </c>
      <c r="K51" t="str">
        <f>VLOOKUP(MONTH(B51),Master!G:H,2,0)</f>
        <v>Maret</v>
      </c>
    </row>
    <row r="52" spans="1:11" x14ac:dyDescent="0.25">
      <c r="A52">
        <v>51</v>
      </c>
      <c r="B52" s="2">
        <v>46130</v>
      </c>
      <c r="C52" t="s">
        <v>14</v>
      </c>
      <c r="D52" t="s">
        <v>30</v>
      </c>
      <c r="E52" t="s">
        <v>12</v>
      </c>
      <c r="F52" t="s">
        <v>13</v>
      </c>
      <c r="G52">
        <v>5</v>
      </c>
      <c r="H52" s="3">
        <v>3520000</v>
      </c>
      <c r="I52" s="4">
        <v>0.05</v>
      </c>
      <c r="J52" s="3">
        <f t="shared" si="0"/>
        <v>16720000</v>
      </c>
      <c r="K52" t="str">
        <f>VLOOKUP(MONTH(B52),Master!G:H,2,0)</f>
        <v>April</v>
      </c>
    </row>
    <row r="53" spans="1:11" x14ac:dyDescent="0.25">
      <c r="A53">
        <v>52</v>
      </c>
      <c r="B53" s="2">
        <v>46151</v>
      </c>
      <c r="C53" t="s">
        <v>10</v>
      </c>
      <c r="D53" t="s">
        <v>26</v>
      </c>
      <c r="E53" t="s">
        <v>27</v>
      </c>
      <c r="F53" t="s">
        <v>32</v>
      </c>
      <c r="G53">
        <v>7</v>
      </c>
      <c r="H53" s="3">
        <v>9500000</v>
      </c>
      <c r="I53" s="4">
        <v>0</v>
      </c>
      <c r="J53" s="3">
        <f t="shared" si="0"/>
        <v>66500000</v>
      </c>
      <c r="K53" t="str">
        <f>VLOOKUP(MONTH(B53),Master!G:H,2,0)</f>
        <v>Mei</v>
      </c>
    </row>
    <row r="54" spans="1:11" x14ac:dyDescent="0.25">
      <c r="A54">
        <v>53</v>
      </c>
      <c r="B54" s="2">
        <v>46024</v>
      </c>
      <c r="C54" t="s">
        <v>24</v>
      </c>
      <c r="D54" t="s">
        <v>35</v>
      </c>
      <c r="E54" t="s">
        <v>20</v>
      </c>
      <c r="F54" t="s">
        <v>32</v>
      </c>
      <c r="G54">
        <v>5</v>
      </c>
      <c r="H54" s="3">
        <v>250000</v>
      </c>
      <c r="I54" s="4">
        <v>0.15</v>
      </c>
      <c r="J54" s="3">
        <f t="shared" si="0"/>
        <v>1062500</v>
      </c>
      <c r="K54" t="str">
        <f>VLOOKUP(MONTH(B54),Master!G:H,2,0)</f>
        <v>Januari</v>
      </c>
    </row>
    <row r="55" spans="1:11" x14ac:dyDescent="0.25">
      <c r="A55">
        <v>54</v>
      </c>
      <c r="B55" s="2">
        <v>46249</v>
      </c>
      <c r="C55" t="s">
        <v>33</v>
      </c>
      <c r="D55" t="s">
        <v>34</v>
      </c>
      <c r="E55" t="s">
        <v>23</v>
      </c>
      <c r="F55" t="s">
        <v>21</v>
      </c>
      <c r="G55">
        <v>1</v>
      </c>
      <c r="H55" s="3">
        <v>1710000</v>
      </c>
      <c r="I55" s="4">
        <v>0</v>
      </c>
      <c r="J55" s="3">
        <f t="shared" si="0"/>
        <v>1710000</v>
      </c>
      <c r="K55" t="str">
        <f>VLOOKUP(MONTH(B55),Master!G:H,2,0)</f>
        <v>Agustus</v>
      </c>
    </row>
    <row r="56" spans="1:11" x14ac:dyDescent="0.25">
      <c r="A56">
        <v>55</v>
      </c>
      <c r="B56" s="2">
        <v>46099</v>
      </c>
      <c r="C56" t="s">
        <v>33</v>
      </c>
      <c r="D56" t="s">
        <v>36</v>
      </c>
      <c r="E56" t="s">
        <v>27</v>
      </c>
      <c r="F56" t="s">
        <v>28</v>
      </c>
      <c r="G56">
        <v>3</v>
      </c>
      <c r="H56" s="3">
        <v>7875000</v>
      </c>
      <c r="I56" s="4">
        <v>0</v>
      </c>
      <c r="J56" s="3">
        <f t="shared" si="0"/>
        <v>23625000</v>
      </c>
      <c r="K56" t="str">
        <f>VLOOKUP(MONTH(B56),Master!G:H,2,0)</f>
        <v>Maret</v>
      </c>
    </row>
    <row r="57" spans="1:11" x14ac:dyDescent="0.25">
      <c r="A57">
        <v>56</v>
      </c>
      <c r="B57" s="2">
        <v>46044</v>
      </c>
      <c r="C57" t="s">
        <v>24</v>
      </c>
      <c r="D57" t="s">
        <v>30</v>
      </c>
      <c r="E57" t="s">
        <v>12</v>
      </c>
      <c r="F57" t="s">
        <v>17</v>
      </c>
      <c r="G57">
        <v>6</v>
      </c>
      <c r="H57" s="3">
        <v>3200000</v>
      </c>
      <c r="I57" s="4">
        <v>0.15</v>
      </c>
      <c r="J57" s="3">
        <f t="shared" si="0"/>
        <v>16320000</v>
      </c>
      <c r="K57" t="str">
        <f>VLOOKUP(MONTH(B57),Master!G:H,2,0)</f>
        <v>Januari</v>
      </c>
    </row>
    <row r="58" spans="1:11" x14ac:dyDescent="0.25">
      <c r="A58">
        <v>57</v>
      </c>
      <c r="B58" s="2">
        <v>46150</v>
      </c>
      <c r="C58" t="s">
        <v>14</v>
      </c>
      <c r="D58" t="s">
        <v>26</v>
      </c>
      <c r="E58" t="s">
        <v>27</v>
      </c>
      <c r="F58" t="s">
        <v>28</v>
      </c>
      <c r="G58">
        <v>7</v>
      </c>
      <c r="H58" s="3">
        <v>10450000</v>
      </c>
      <c r="I58" s="4">
        <v>0.15</v>
      </c>
      <c r="J58" s="3">
        <f t="shared" si="0"/>
        <v>62177500</v>
      </c>
      <c r="K58" t="str">
        <f>VLOOKUP(MONTH(B58),Master!G:H,2,0)</f>
        <v>Mei</v>
      </c>
    </row>
    <row r="59" spans="1:11" x14ac:dyDescent="0.25">
      <c r="A59">
        <v>58</v>
      </c>
      <c r="B59" s="2">
        <v>46102</v>
      </c>
      <c r="C59" t="s">
        <v>18</v>
      </c>
      <c r="D59" t="s">
        <v>35</v>
      </c>
      <c r="E59" t="s">
        <v>20</v>
      </c>
      <c r="F59" t="s">
        <v>13</v>
      </c>
      <c r="G59">
        <v>7</v>
      </c>
      <c r="H59" s="3">
        <v>238000</v>
      </c>
      <c r="I59" s="4">
        <v>0</v>
      </c>
      <c r="J59" s="3">
        <f t="shared" si="0"/>
        <v>1666000</v>
      </c>
      <c r="K59" t="str">
        <f>VLOOKUP(MONTH(B59),Master!G:H,2,0)</f>
        <v>Maret</v>
      </c>
    </row>
    <row r="60" spans="1:11" x14ac:dyDescent="0.25">
      <c r="A60">
        <v>59</v>
      </c>
      <c r="B60" s="2">
        <v>46193</v>
      </c>
      <c r="C60" t="s">
        <v>25</v>
      </c>
      <c r="D60" t="s">
        <v>19</v>
      </c>
      <c r="E60" t="s">
        <v>20</v>
      </c>
      <c r="F60" t="s">
        <v>28</v>
      </c>
      <c r="G60">
        <v>3</v>
      </c>
      <c r="H60" s="3">
        <v>428000</v>
      </c>
      <c r="I60" s="4">
        <v>0.05</v>
      </c>
      <c r="J60" s="3">
        <f t="shared" si="0"/>
        <v>1219800</v>
      </c>
      <c r="K60" t="str">
        <f>VLOOKUP(MONTH(B60),Master!G:H,2,0)</f>
        <v>Juni</v>
      </c>
    </row>
    <row r="61" spans="1:11" x14ac:dyDescent="0.25">
      <c r="A61">
        <v>60</v>
      </c>
      <c r="B61" s="2">
        <v>46042</v>
      </c>
      <c r="C61" t="s">
        <v>25</v>
      </c>
      <c r="D61" t="s">
        <v>19</v>
      </c>
      <c r="E61" t="s">
        <v>20</v>
      </c>
      <c r="F61" t="s">
        <v>13</v>
      </c>
      <c r="G61">
        <v>8</v>
      </c>
      <c r="H61" s="3">
        <v>450000</v>
      </c>
      <c r="I61" s="4">
        <v>0.05</v>
      </c>
      <c r="J61" s="3">
        <f t="shared" si="0"/>
        <v>3420000</v>
      </c>
      <c r="K61" t="str">
        <f>VLOOKUP(MONTH(B61),Master!G:H,2,0)</f>
        <v>Januari</v>
      </c>
    </row>
    <row r="62" spans="1:11" x14ac:dyDescent="0.25">
      <c r="A62">
        <v>61</v>
      </c>
      <c r="B62" s="2">
        <v>46139</v>
      </c>
      <c r="C62" t="s">
        <v>18</v>
      </c>
      <c r="D62" t="s">
        <v>36</v>
      </c>
      <c r="E62" t="s">
        <v>27</v>
      </c>
      <c r="F62" t="s">
        <v>32</v>
      </c>
      <c r="G62">
        <v>4</v>
      </c>
      <c r="H62" s="3">
        <v>7875000</v>
      </c>
      <c r="I62" s="4">
        <v>0.05</v>
      </c>
      <c r="J62" s="3">
        <f t="shared" si="0"/>
        <v>29925000</v>
      </c>
      <c r="K62" t="str">
        <f>VLOOKUP(MONTH(B62),Master!G:H,2,0)</f>
        <v>April</v>
      </c>
    </row>
    <row r="63" spans="1:11" x14ac:dyDescent="0.25">
      <c r="A63">
        <v>62</v>
      </c>
      <c r="B63" s="2">
        <v>46165</v>
      </c>
      <c r="C63" t="s">
        <v>10</v>
      </c>
      <c r="D63" t="s">
        <v>11</v>
      </c>
      <c r="E63" t="s">
        <v>12</v>
      </c>
      <c r="F63" t="s">
        <v>28</v>
      </c>
      <c r="G63">
        <v>7</v>
      </c>
      <c r="H63" s="3">
        <v>2310000</v>
      </c>
      <c r="I63" s="4">
        <v>0.05</v>
      </c>
      <c r="J63" s="3">
        <f t="shared" si="0"/>
        <v>15361500</v>
      </c>
      <c r="K63" t="str">
        <f>VLOOKUP(MONTH(B63),Master!G:H,2,0)</f>
        <v>Mei</v>
      </c>
    </row>
    <row r="64" spans="1:11" x14ac:dyDescent="0.25">
      <c r="A64">
        <v>63</v>
      </c>
      <c r="B64" s="2">
        <v>46037</v>
      </c>
      <c r="C64" t="s">
        <v>10</v>
      </c>
      <c r="D64" t="s">
        <v>11</v>
      </c>
      <c r="E64" t="s">
        <v>12</v>
      </c>
      <c r="F64" t="s">
        <v>13</v>
      </c>
      <c r="G64">
        <v>5</v>
      </c>
      <c r="H64" s="3">
        <v>1995000</v>
      </c>
      <c r="I64" s="4">
        <v>0</v>
      </c>
      <c r="J64" s="3">
        <f t="shared" si="0"/>
        <v>9975000</v>
      </c>
      <c r="K64" t="str">
        <f>VLOOKUP(MONTH(B64),Master!G:H,2,0)</f>
        <v>Januari</v>
      </c>
    </row>
    <row r="65" spans="1:11" x14ac:dyDescent="0.25">
      <c r="A65">
        <v>64</v>
      </c>
      <c r="B65" s="2">
        <v>46245</v>
      </c>
      <c r="C65" t="s">
        <v>24</v>
      </c>
      <c r="D65" t="s">
        <v>30</v>
      </c>
      <c r="E65" t="s">
        <v>12</v>
      </c>
      <c r="F65" t="s">
        <v>31</v>
      </c>
      <c r="G65">
        <v>2</v>
      </c>
      <c r="H65" s="3">
        <v>3360000</v>
      </c>
      <c r="I65" s="4">
        <v>0.1</v>
      </c>
      <c r="J65" s="3">
        <f t="shared" si="0"/>
        <v>6048000</v>
      </c>
      <c r="K65" t="str">
        <f>VLOOKUP(MONTH(B65),Master!G:H,2,0)</f>
        <v>Agustus</v>
      </c>
    </row>
    <row r="66" spans="1:11" x14ac:dyDescent="0.25">
      <c r="A66">
        <v>65</v>
      </c>
      <c r="B66" s="2">
        <v>46120</v>
      </c>
      <c r="C66" t="s">
        <v>24</v>
      </c>
      <c r="D66" t="s">
        <v>36</v>
      </c>
      <c r="E66" t="s">
        <v>27</v>
      </c>
      <c r="F66" t="s">
        <v>32</v>
      </c>
      <c r="G66">
        <v>7</v>
      </c>
      <c r="H66" s="3">
        <v>7125000</v>
      </c>
      <c r="I66" s="4">
        <v>0.1</v>
      </c>
      <c r="J66" s="3">
        <f t="shared" si="0"/>
        <v>44887500</v>
      </c>
      <c r="K66" t="str">
        <f>VLOOKUP(MONTH(B66),Master!G:H,2,0)</f>
        <v>April</v>
      </c>
    </row>
    <row r="67" spans="1:11" x14ac:dyDescent="0.25">
      <c r="A67">
        <v>66</v>
      </c>
      <c r="B67" s="2">
        <v>46123</v>
      </c>
      <c r="C67" t="s">
        <v>24</v>
      </c>
      <c r="D67" t="s">
        <v>34</v>
      </c>
      <c r="E67" t="s">
        <v>23</v>
      </c>
      <c r="F67" t="s">
        <v>17</v>
      </c>
      <c r="G67">
        <v>6</v>
      </c>
      <c r="H67" s="3">
        <v>1980000</v>
      </c>
      <c r="I67" s="4">
        <v>0.05</v>
      </c>
      <c r="J67" s="3">
        <f t="shared" ref="J67:J101" si="1">G67*H67*(1-I67)</f>
        <v>11286000</v>
      </c>
      <c r="K67" t="str">
        <f>VLOOKUP(MONTH(B67),Master!G:H,2,0)</f>
        <v>April</v>
      </c>
    </row>
    <row r="68" spans="1:11" x14ac:dyDescent="0.25">
      <c r="A68">
        <v>67</v>
      </c>
      <c r="B68" s="2">
        <v>46086</v>
      </c>
      <c r="C68" t="s">
        <v>14</v>
      </c>
      <c r="D68" t="s">
        <v>11</v>
      </c>
      <c r="E68" t="s">
        <v>12</v>
      </c>
      <c r="F68" t="s">
        <v>21</v>
      </c>
      <c r="G68">
        <v>5</v>
      </c>
      <c r="H68" s="3">
        <v>2205000</v>
      </c>
      <c r="I68" s="4">
        <v>0.05</v>
      </c>
      <c r="J68" s="3">
        <f t="shared" si="1"/>
        <v>10473750</v>
      </c>
      <c r="K68" t="str">
        <f>VLOOKUP(MONTH(B68),Master!G:H,2,0)</f>
        <v>Maret</v>
      </c>
    </row>
    <row r="69" spans="1:11" x14ac:dyDescent="0.25">
      <c r="A69">
        <v>68</v>
      </c>
      <c r="B69" s="2">
        <v>46229</v>
      </c>
      <c r="C69" t="s">
        <v>14</v>
      </c>
      <c r="D69" t="s">
        <v>11</v>
      </c>
      <c r="E69" t="s">
        <v>12</v>
      </c>
      <c r="F69" t="s">
        <v>21</v>
      </c>
      <c r="G69">
        <v>3</v>
      </c>
      <c r="H69" s="3">
        <v>2100000</v>
      </c>
      <c r="I69" s="4">
        <v>0.05</v>
      </c>
      <c r="J69" s="3">
        <f t="shared" si="1"/>
        <v>5985000</v>
      </c>
      <c r="K69" t="str">
        <f>VLOOKUP(MONTH(B69),Master!G:H,2,0)</f>
        <v>Juli</v>
      </c>
    </row>
    <row r="70" spans="1:11" x14ac:dyDescent="0.25">
      <c r="A70">
        <v>69</v>
      </c>
      <c r="B70" s="2">
        <v>46217</v>
      </c>
      <c r="C70" t="s">
        <v>14</v>
      </c>
      <c r="D70" t="s">
        <v>35</v>
      </c>
      <c r="E70" t="s">
        <v>20</v>
      </c>
      <c r="F70" t="s">
        <v>21</v>
      </c>
      <c r="G70">
        <v>5</v>
      </c>
      <c r="H70" s="3">
        <v>262000</v>
      </c>
      <c r="I70" s="4">
        <v>0.1</v>
      </c>
      <c r="J70" s="3">
        <f t="shared" si="1"/>
        <v>1179000</v>
      </c>
      <c r="K70" t="str">
        <f>VLOOKUP(MONTH(B70),Master!G:H,2,0)</f>
        <v>Juli</v>
      </c>
    </row>
    <row r="71" spans="1:11" x14ac:dyDescent="0.25">
      <c r="A71">
        <v>70</v>
      </c>
      <c r="B71" s="2">
        <v>46023</v>
      </c>
      <c r="C71" t="s">
        <v>24</v>
      </c>
      <c r="D71" t="s">
        <v>11</v>
      </c>
      <c r="E71" t="s">
        <v>12</v>
      </c>
      <c r="F71" t="s">
        <v>13</v>
      </c>
      <c r="G71">
        <v>7</v>
      </c>
      <c r="H71" s="3">
        <v>2310000</v>
      </c>
      <c r="I71" s="4">
        <v>0.1</v>
      </c>
      <c r="J71" s="3">
        <f t="shared" si="1"/>
        <v>14553000</v>
      </c>
      <c r="K71" t="str">
        <f>VLOOKUP(MONTH(B71),Master!G:H,2,0)</f>
        <v>Januari</v>
      </c>
    </row>
    <row r="72" spans="1:11" x14ac:dyDescent="0.25">
      <c r="A72">
        <v>71</v>
      </c>
      <c r="B72" s="2">
        <v>46187</v>
      </c>
      <c r="C72" t="s">
        <v>25</v>
      </c>
      <c r="D72" t="s">
        <v>22</v>
      </c>
      <c r="E72" t="s">
        <v>23</v>
      </c>
      <c r="F72" t="s">
        <v>31</v>
      </c>
      <c r="G72">
        <v>4</v>
      </c>
      <c r="H72" s="3">
        <v>2970000</v>
      </c>
      <c r="I72" s="4">
        <v>0.05</v>
      </c>
      <c r="J72" s="3">
        <f t="shared" si="1"/>
        <v>11286000</v>
      </c>
      <c r="K72" t="str">
        <f>VLOOKUP(MONTH(B72),Master!G:H,2,0)</f>
        <v>Juni</v>
      </c>
    </row>
    <row r="73" spans="1:11" x14ac:dyDescent="0.25">
      <c r="A73">
        <v>72</v>
      </c>
      <c r="B73" s="2">
        <v>46109</v>
      </c>
      <c r="C73" t="s">
        <v>14</v>
      </c>
      <c r="D73" t="s">
        <v>26</v>
      </c>
      <c r="E73" t="s">
        <v>27</v>
      </c>
      <c r="F73" t="s">
        <v>28</v>
      </c>
      <c r="G73">
        <v>6</v>
      </c>
      <c r="H73" s="3">
        <v>9025000</v>
      </c>
      <c r="I73" s="4">
        <v>0</v>
      </c>
      <c r="J73" s="3">
        <f t="shared" si="1"/>
        <v>54150000</v>
      </c>
      <c r="K73" t="str">
        <f>VLOOKUP(MONTH(B73),Master!G:H,2,0)</f>
        <v>Maret</v>
      </c>
    </row>
    <row r="74" spans="1:11" x14ac:dyDescent="0.25">
      <c r="A74">
        <v>73</v>
      </c>
      <c r="B74" s="2">
        <v>46181</v>
      </c>
      <c r="C74" t="s">
        <v>18</v>
      </c>
      <c r="D74" t="s">
        <v>19</v>
      </c>
      <c r="E74" t="s">
        <v>20</v>
      </c>
      <c r="F74" t="s">
        <v>13</v>
      </c>
      <c r="G74">
        <v>1</v>
      </c>
      <c r="H74" s="3">
        <v>428000</v>
      </c>
      <c r="I74" s="4">
        <v>0</v>
      </c>
      <c r="J74" s="3">
        <f t="shared" si="1"/>
        <v>428000</v>
      </c>
      <c r="K74" t="str">
        <f>VLOOKUP(MONTH(B74),Master!G:H,2,0)</f>
        <v>Juni</v>
      </c>
    </row>
    <row r="75" spans="1:11" x14ac:dyDescent="0.25">
      <c r="A75">
        <v>74</v>
      </c>
      <c r="B75" s="2">
        <v>46266</v>
      </c>
      <c r="C75" t="s">
        <v>33</v>
      </c>
      <c r="D75" t="s">
        <v>26</v>
      </c>
      <c r="E75" t="s">
        <v>27</v>
      </c>
      <c r="F75" t="s">
        <v>31</v>
      </c>
      <c r="G75">
        <v>7</v>
      </c>
      <c r="H75" s="3">
        <v>10450000</v>
      </c>
      <c r="I75" s="4">
        <v>0</v>
      </c>
      <c r="J75" s="3">
        <f t="shared" si="1"/>
        <v>73150000</v>
      </c>
      <c r="K75" t="str">
        <f>VLOOKUP(MONTH(B75),Master!G:H,2,0)</f>
        <v>September</v>
      </c>
    </row>
    <row r="76" spans="1:11" x14ac:dyDescent="0.25">
      <c r="A76">
        <v>75</v>
      </c>
      <c r="B76" s="2">
        <v>46219</v>
      </c>
      <c r="C76" t="s">
        <v>25</v>
      </c>
      <c r="D76" t="s">
        <v>34</v>
      </c>
      <c r="E76" t="s">
        <v>23</v>
      </c>
      <c r="F76" t="s">
        <v>13</v>
      </c>
      <c r="G76">
        <v>3</v>
      </c>
      <c r="H76" s="3">
        <v>1710000</v>
      </c>
      <c r="I76" s="4">
        <v>0</v>
      </c>
      <c r="J76" s="3">
        <f t="shared" si="1"/>
        <v>5130000</v>
      </c>
      <c r="K76" t="str">
        <f>VLOOKUP(MONTH(B76),Master!G:H,2,0)</f>
        <v>Juli</v>
      </c>
    </row>
    <row r="77" spans="1:11" x14ac:dyDescent="0.25">
      <c r="A77">
        <v>76</v>
      </c>
      <c r="B77" s="2">
        <v>46240</v>
      </c>
      <c r="C77" t="s">
        <v>18</v>
      </c>
      <c r="D77" t="s">
        <v>35</v>
      </c>
      <c r="E77" t="s">
        <v>20</v>
      </c>
      <c r="F77" t="s">
        <v>32</v>
      </c>
      <c r="G77">
        <v>8</v>
      </c>
      <c r="H77" s="3">
        <v>238000</v>
      </c>
      <c r="I77" s="4">
        <v>0.1</v>
      </c>
      <c r="J77" s="3">
        <f t="shared" si="1"/>
        <v>1713600</v>
      </c>
      <c r="K77" t="str">
        <f>VLOOKUP(MONTH(B77),Master!G:H,2,0)</f>
        <v>Agustus</v>
      </c>
    </row>
    <row r="78" spans="1:11" x14ac:dyDescent="0.25">
      <c r="A78">
        <v>77</v>
      </c>
      <c r="B78" s="2">
        <v>46150</v>
      </c>
      <c r="C78" t="s">
        <v>10</v>
      </c>
      <c r="D78" t="s">
        <v>22</v>
      </c>
      <c r="E78" t="s">
        <v>23</v>
      </c>
      <c r="F78" t="s">
        <v>13</v>
      </c>
      <c r="G78">
        <v>8</v>
      </c>
      <c r="H78" s="3">
        <v>2970000</v>
      </c>
      <c r="I78" s="4">
        <v>0.1</v>
      </c>
      <c r="J78" s="3">
        <f t="shared" si="1"/>
        <v>21384000</v>
      </c>
      <c r="K78" t="str">
        <f>VLOOKUP(MONTH(B78),Master!G:H,2,0)</f>
        <v>Mei</v>
      </c>
    </row>
    <row r="79" spans="1:11" x14ac:dyDescent="0.25">
      <c r="A79">
        <v>78</v>
      </c>
      <c r="B79" s="2">
        <v>46185</v>
      </c>
      <c r="C79" t="s">
        <v>25</v>
      </c>
      <c r="D79" t="s">
        <v>29</v>
      </c>
      <c r="E79" t="s">
        <v>16</v>
      </c>
      <c r="F79" t="s">
        <v>32</v>
      </c>
      <c r="G79">
        <v>7</v>
      </c>
      <c r="H79" s="3">
        <v>6380000</v>
      </c>
      <c r="I79" s="4">
        <v>0.05</v>
      </c>
      <c r="J79" s="3">
        <f t="shared" si="1"/>
        <v>42427000</v>
      </c>
      <c r="K79" t="str">
        <f>VLOOKUP(MONTH(B79),Master!G:H,2,0)</f>
        <v>Juni</v>
      </c>
    </row>
    <row r="80" spans="1:11" x14ac:dyDescent="0.25">
      <c r="A80">
        <v>79</v>
      </c>
      <c r="B80" s="2">
        <v>46104</v>
      </c>
      <c r="C80" t="s">
        <v>14</v>
      </c>
      <c r="D80" t="s">
        <v>22</v>
      </c>
      <c r="E80" t="s">
        <v>23</v>
      </c>
      <c r="F80" t="s">
        <v>31</v>
      </c>
      <c r="G80">
        <v>5</v>
      </c>
      <c r="H80" s="3">
        <v>2700000</v>
      </c>
      <c r="I80" s="4">
        <v>0.15</v>
      </c>
      <c r="J80" s="3">
        <f t="shared" si="1"/>
        <v>11475000</v>
      </c>
      <c r="K80" t="str">
        <f>VLOOKUP(MONTH(B80),Master!G:H,2,0)</f>
        <v>Maret</v>
      </c>
    </row>
    <row r="81" spans="1:11" x14ac:dyDescent="0.25">
      <c r="A81">
        <v>80</v>
      </c>
      <c r="B81" s="2">
        <v>46164</v>
      </c>
      <c r="C81" t="s">
        <v>33</v>
      </c>
      <c r="D81" t="s">
        <v>22</v>
      </c>
      <c r="E81" t="s">
        <v>23</v>
      </c>
      <c r="F81" t="s">
        <v>32</v>
      </c>
      <c r="G81">
        <v>4</v>
      </c>
      <c r="H81" s="3">
        <v>2700000</v>
      </c>
      <c r="I81" s="4">
        <v>0.05</v>
      </c>
      <c r="J81" s="3">
        <f t="shared" si="1"/>
        <v>10260000</v>
      </c>
      <c r="K81" t="str">
        <f>VLOOKUP(MONTH(B81),Master!G:H,2,0)</f>
        <v>Mei</v>
      </c>
    </row>
    <row r="82" spans="1:11" x14ac:dyDescent="0.25">
      <c r="A82">
        <v>81</v>
      </c>
      <c r="B82" s="2">
        <v>46062</v>
      </c>
      <c r="C82" t="s">
        <v>14</v>
      </c>
      <c r="D82" t="s">
        <v>11</v>
      </c>
      <c r="E82" t="s">
        <v>12</v>
      </c>
      <c r="F82" t="s">
        <v>13</v>
      </c>
      <c r="G82">
        <v>5</v>
      </c>
      <c r="H82" s="3">
        <v>2100000</v>
      </c>
      <c r="I82" s="4">
        <v>0.05</v>
      </c>
      <c r="J82" s="3">
        <f t="shared" si="1"/>
        <v>9975000</v>
      </c>
      <c r="K82" t="str">
        <f>VLOOKUP(MONTH(B82),Master!G:H,2,0)</f>
        <v>Februari</v>
      </c>
    </row>
    <row r="83" spans="1:11" x14ac:dyDescent="0.25">
      <c r="A83">
        <v>82</v>
      </c>
      <c r="B83" s="2">
        <v>46064</v>
      </c>
      <c r="C83" t="s">
        <v>18</v>
      </c>
      <c r="D83" t="s">
        <v>35</v>
      </c>
      <c r="E83" t="s">
        <v>20</v>
      </c>
      <c r="F83" t="s">
        <v>13</v>
      </c>
      <c r="G83">
        <v>7</v>
      </c>
      <c r="H83" s="3">
        <v>250000</v>
      </c>
      <c r="I83" s="4">
        <v>0.15</v>
      </c>
      <c r="J83" s="3">
        <f t="shared" si="1"/>
        <v>1487500</v>
      </c>
      <c r="K83" t="str">
        <f>VLOOKUP(MONTH(B83),Master!G:H,2,0)</f>
        <v>Februari</v>
      </c>
    </row>
    <row r="84" spans="1:11" x14ac:dyDescent="0.25">
      <c r="A84">
        <v>83</v>
      </c>
      <c r="B84" s="2">
        <v>46132</v>
      </c>
      <c r="C84" t="s">
        <v>10</v>
      </c>
      <c r="D84" t="s">
        <v>34</v>
      </c>
      <c r="E84" t="s">
        <v>23</v>
      </c>
      <c r="F84" t="s">
        <v>31</v>
      </c>
      <c r="G84">
        <v>6</v>
      </c>
      <c r="H84" s="3">
        <v>1980000</v>
      </c>
      <c r="I84" s="4">
        <v>0.05</v>
      </c>
      <c r="J84" s="3">
        <f t="shared" si="1"/>
        <v>11286000</v>
      </c>
      <c r="K84" t="str">
        <f>VLOOKUP(MONTH(B84),Master!G:H,2,0)</f>
        <v>April</v>
      </c>
    </row>
    <row r="85" spans="1:11" x14ac:dyDescent="0.25">
      <c r="A85">
        <v>84</v>
      </c>
      <c r="B85" s="2">
        <v>46235</v>
      </c>
      <c r="C85" t="s">
        <v>10</v>
      </c>
      <c r="D85" t="s">
        <v>19</v>
      </c>
      <c r="E85" t="s">
        <v>20</v>
      </c>
      <c r="F85" t="s">
        <v>31</v>
      </c>
      <c r="G85">
        <v>7</v>
      </c>
      <c r="H85" s="3">
        <v>495000</v>
      </c>
      <c r="I85" s="4">
        <v>0.15</v>
      </c>
      <c r="J85" s="3">
        <f t="shared" si="1"/>
        <v>2945250</v>
      </c>
      <c r="K85" t="str">
        <f>VLOOKUP(MONTH(B85),Master!G:H,2,0)</f>
        <v>Agustus</v>
      </c>
    </row>
    <row r="86" spans="1:11" x14ac:dyDescent="0.25">
      <c r="A86">
        <v>85</v>
      </c>
      <c r="B86" s="2">
        <v>46033</v>
      </c>
      <c r="C86" t="s">
        <v>33</v>
      </c>
      <c r="D86" t="s">
        <v>34</v>
      </c>
      <c r="E86" t="s">
        <v>23</v>
      </c>
      <c r="F86" t="s">
        <v>31</v>
      </c>
      <c r="G86">
        <v>1</v>
      </c>
      <c r="H86" s="3">
        <v>1800000</v>
      </c>
      <c r="I86" s="4">
        <v>0.05</v>
      </c>
      <c r="J86" s="3">
        <f t="shared" si="1"/>
        <v>1710000</v>
      </c>
      <c r="K86" t="str">
        <f>VLOOKUP(MONTH(B86),Master!G:H,2,0)</f>
        <v>Januari</v>
      </c>
    </row>
    <row r="87" spans="1:11" x14ac:dyDescent="0.25">
      <c r="A87">
        <v>86</v>
      </c>
      <c r="B87" s="2">
        <v>46222</v>
      </c>
      <c r="C87" t="s">
        <v>25</v>
      </c>
      <c r="D87" t="s">
        <v>15</v>
      </c>
      <c r="E87" t="s">
        <v>16</v>
      </c>
      <c r="F87" t="s">
        <v>32</v>
      </c>
      <c r="G87">
        <v>4</v>
      </c>
      <c r="H87" s="3">
        <v>4410000</v>
      </c>
      <c r="I87" s="4">
        <v>0</v>
      </c>
      <c r="J87" s="3">
        <f t="shared" si="1"/>
        <v>17640000</v>
      </c>
      <c r="K87" t="str">
        <f>VLOOKUP(MONTH(B87),Master!G:H,2,0)</f>
        <v>Juli</v>
      </c>
    </row>
    <row r="88" spans="1:11" x14ac:dyDescent="0.25">
      <c r="A88">
        <v>87</v>
      </c>
      <c r="B88" s="2">
        <v>46162</v>
      </c>
      <c r="C88" t="s">
        <v>25</v>
      </c>
      <c r="D88" t="s">
        <v>22</v>
      </c>
      <c r="E88" t="s">
        <v>23</v>
      </c>
      <c r="F88" t="s">
        <v>17</v>
      </c>
      <c r="G88">
        <v>7</v>
      </c>
      <c r="H88" s="3">
        <v>2700000</v>
      </c>
      <c r="I88" s="4">
        <v>0.15</v>
      </c>
      <c r="J88" s="3">
        <f t="shared" si="1"/>
        <v>16065000</v>
      </c>
      <c r="K88" t="str">
        <f>VLOOKUP(MONTH(B88),Master!G:H,2,0)</f>
        <v>Mei</v>
      </c>
    </row>
    <row r="89" spans="1:11" x14ac:dyDescent="0.25">
      <c r="A89">
        <v>88</v>
      </c>
      <c r="B89" s="2">
        <v>46230</v>
      </c>
      <c r="C89" t="s">
        <v>14</v>
      </c>
      <c r="D89" t="s">
        <v>35</v>
      </c>
      <c r="E89" t="s">
        <v>20</v>
      </c>
      <c r="F89" t="s">
        <v>31</v>
      </c>
      <c r="G89">
        <v>3</v>
      </c>
      <c r="H89" s="3">
        <v>275000</v>
      </c>
      <c r="I89" s="4">
        <v>0.1</v>
      </c>
      <c r="J89" s="3">
        <f t="shared" si="1"/>
        <v>742500</v>
      </c>
      <c r="K89" t="str">
        <f>VLOOKUP(MONTH(B89),Master!G:H,2,0)</f>
        <v>Juli</v>
      </c>
    </row>
    <row r="90" spans="1:11" x14ac:dyDescent="0.25">
      <c r="A90">
        <v>89</v>
      </c>
      <c r="B90" s="2">
        <v>46036</v>
      </c>
      <c r="C90" t="s">
        <v>25</v>
      </c>
      <c r="D90" t="s">
        <v>29</v>
      </c>
      <c r="E90" t="s">
        <v>16</v>
      </c>
      <c r="F90" t="s">
        <v>21</v>
      </c>
      <c r="G90">
        <v>1</v>
      </c>
      <c r="H90" s="3">
        <v>5510000</v>
      </c>
      <c r="I90" s="4">
        <v>0.15</v>
      </c>
      <c r="J90" s="3">
        <f t="shared" si="1"/>
        <v>4683500</v>
      </c>
      <c r="K90" t="str">
        <f>VLOOKUP(MONTH(B90),Master!G:H,2,0)</f>
        <v>Januari</v>
      </c>
    </row>
    <row r="91" spans="1:11" x14ac:dyDescent="0.25">
      <c r="A91">
        <v>90</v>
      </c>
      <c r="B91" s="2">
        <v>46242</v>
      </c>
      <c r="C91" t="s">
        <v>18</v>
      </c>
      <c r="D91" t="s">
        <v>22</v>
      </c>
      <c r="E91" t="s">
        <v>23</v>
      </c>
      <c r="F91" t="s">
        <v>13</v>
      </c>
      <c r="G91">
        <v>1</v>
      </c>
      <c r="H91" s="3">
        <v>2700000</v>
      </c>
      <c r="I91" s="4">
        <v>0.05</v>
      </c>
      <c r="J91" s="3">
        <f t="shared" si="1"/>
        <v>2565000</v>
      </c>
      <c r="K91" t="str">
        <f>VLOOKUP(MONTH(B91),Master!G:H,2,0)</f>
        <v>Agustus</v>
      </c>
    </row>
    <row r="92" spans="1:11" x14ac:dyDescent="0.25">
      <c r="A92">
        <v>91</v>
      </c>
      <c r="B92" s="2">
        <v>46190</v>
      </c>
      <c r="C92" t="s">
        <v>18</v>
      </c>
      <c r="D92" t="s">
        <v>22</v>
      </c>
      <c r="E92" t="s">
        <v>23</v>
      </c>
      <c r="F92" t="s">
        <v>28</v>
      </c>
      <c r="G92">
        <v>6</v>
      </c>
      <c r="H92" s="3">
        <v>2835000</v>
      </c>
      <c r="I92" s="4">
        <v>0.05</v>
      </c>
      <c r="J92" s="3">
        <f t="shared" si="1"/>
        <v>16159500</v>
      </c>
      <c r="K92" t="str">
        <f>VLOOKUP(MONTH(B92),Master!G:H,2,0)</f>
        <v>Juni</v>
      </c>
    </row>
    <row r="93" spans="1:11" x14ac:dyDescent="0.25">
      <c r="A93">
        <v>92</v>
      </c>
      <c r="B93" s="2">
        <v>46238</v>
      </c>
      <c r="C93" t="s">
        <v>24</v>
      </c>
      <c r="D93" t="s">
        <v>26</v>
      </c>
      <c r="E93" t="s">
        <v>27</v>
      </c>
      <c r="F93" t="s">
        <v>31</v>
      </c>
      <c r="G93">
        <v>1</v>
      </c>
      <c r="H93" s="3">
        <v>10450000</v>
      </c>
      <c r="I93" s="4">
        <v>0</v>
      </c>
      <c r="J93" s="3">
        <f t="shared" si="1"/>
        <v>10450000</v>
      </c>
      <c r="K93" t="str">
        <f>VLOOKUP(MONTH(B93),Master!G:H,2,0)</f>
        <v>Agustus</v>
      </c>
    </row>
    <row r="94" spans="1:11" x14ac:dyDescent="0.25">
      <c r="A94">
        <v>93</v>
      </c>
      <c r="B94" s="2">
        <v>46202</v>
      </c>
      <c r="C94" t="s">
        <v>18</v>
      </c>
      <c r="D94" t="s">
        <v>26</v>
      </c>
      <c r="E94" t="s">
        <v>27</v>
      </c>
      <c r="F94" t="s">
        <v>32</v>
      </c>
      <c r="G94">
        <v>1</v>
      </c>
      <c r="H94" s="3">
        <v>9025000</v>
      </c>
      <c r="I94" s="4">
        <v>0</v>
      </c>
      <c r="J94" s="3">
        <f t="shared" si="1"/>
        <v>9025000</v>
      </c>
      <c r="K94" t="str">
        <f>VLOOKUP(MONTH(B94),Master!G:H,2,0)</f>
        <v>Juni</v>
      </c>
    </row>
    <row r="95" spans="1:11" x14ac:dyDescent="0.25">
      <c r="A95">
        <v>94</v>
      </c>
      <c r="B95" s="2">
        <v>46125</v>
      </c>
      <c r="C95" t="s">
        <v>10</v>
      </c>
      <c r="D95" t="s">
        <v>29</v>
      </c>
      <c r="E95" t="s">
        <v>16</v>
      </c>
      <c r="F95" t="s">
        <v>13</v>
      </c>
      <c r="G95">
        <v>4</v>
      </c>
      <c r="H95" s="3">
        <v>5800000</v>
      </c>
      <c r="I95" s="4">
        <v>0.05</v>
      </c>
      <c r="J95" s="3">
        <f t="shared" si="1"/>
        <v>22040000</v>
      </c>
      <c r="K95" t="str">
        <f>VLOOKUP(MONTH(B95),Master!G:H,2,0)</f>
        <v>April</v>
      </c>
    </row>
    <row r="96" spans="1:11" x14ac:dyDescent="0.25">
      <c r="A96">
        <v>95</v>
      </c>
      <c r="B96" s="2">
        <v>46081</v>
      </c>
      <c r="C96" t="s">
        <v>33</v>
      </c>
      <c r="D96" t="s">
        <v>19</v>
      </c>
      <c r="E96" t="s">
        <v>20</v>
      </c>
      <c r="F96" t="s">
        <v>31</v>
      </c>
      <c r="G96">
        <v>5</v>
      </c>
      <c r="H96" s="3">
        <v>450000</v>
      </c>
      <c r="I96" s="4">
        <v>0</v>
      </c>
      <c r="J96" s="3">
        <f t="shared" si="1"/>
        <v>2250000</v>
      </c>
      <c r="K96" t="str">
        <f>VLOOKUP(MONTH(B96),Master!G:H,2,0)</f>
        <v>Februari</v>
      </c>
    </row>
    <row r="97" spans="1:11" x14ac:dyDescent="0.25">
      <c r="A97">
        <v>96</v>
      </c>
      <c r="B97" s="2">
        <v>46081</v>
      </c>
      <c r="C97" t="s">
        <v>18</v>
      </c>
      <c r="D97" t="s">
        <v>11</v>
      </c>
      <c r="E97" t="s">
        <v>12</v>
      </c>
      <c r="F97" t="s">
        <v>17</v>
      </c>
      <c r="G97">
        <v>1</v>
      </c>
      <c r="H97" s="3">
        <v>2100000</v>
      </c>
      <c r="I97" s="4">
        <v>0.1</v>
      </c>
      <c r="J97" s="3">
        <f t="shared" si="1"/>
        <v>1890000</v>
      </c>
      <c r="K97" t="str">
        <f>VLOOKUP(MONTH(B97),Master!G:H,2,0)</f>
        <v>Februari</v>
      </c>
    </row>
    <row r="98" spans="1:11" x14ac:dyDescent="0.25">
      <c r="A98">
        <v>97</v>
      </c>
      <c r="B98" s="2">
        <v>46215</v>
      </c>
      <c r="C98" t="s">
        <v>25</v>
      </c>
      <c r="D98" t="s">
        <v>19</v>
      </c>
      <c r="E98" t="s">
        <v>20</v>
      </c>
      <c r="F98" t="s">
        <v>17</v>
      </c>
      <c r="G98">
        <v>4</v>
      </c>
      <c r="H98" s="3">
        <v>428000</v>
      </c>
      <c r="I98" s="4">
        <v>0.15</v>
      </c>
      <c r="J98" s="3">
        <f t="shared" si="1"/>
        <v>1455200</v>
      </c>
      <c r="K98" t="str">
        <f>VLOOKUP(MONTH(B98),Master!G:H,2,0)</f>
        <v>Juli</v>
      </c>
    </row>
    <row r="99" spans="1:11" x14ac:dyDescent="0.25">
      <c r="A99">
        <v>98</v>
      </c>
      <c r="B99" s="2">
        <v>46177</v>
      </c>
      <c r="C99" t="s">
        <v>14</v>
      </c>
      <c r="D99" t="s">
        <v>29</v>
      </c>
      <c r="E99" t="s">
        <v>16</v>
      </c>
      <c r="F99" t="s">
        <v>17</v>
      </c>
      <c r="G99">
        <v>1</v>
      </c>
      <c r="H99" s="3">
        <v>5800000</v>
      </c>
      <c r="I99" s="4">
        <v>0.1</v>
      </c>
      <c r="J99" s="3">
        <f t="shared" si="1"/>
        <v>5220000</v>
      </c>
      <c r="K99" t="str">
        <f>VLOOKUP(MONTH(B99),Master!G:H,2,0)</f>
        <v>Juni</v>
      </c>
    </row>
    <row r="100" spans="1:11" x14ac:dyDescent="0.25">
      <c r="A100">
        <v>99</v>
      </c>
      <c r="B100" s="2">
        <v>46242</v>
      </c>
      <c r="C100" t="s">
        <v>14</v>
      </c>
      <c r="D100" t="s">
        <v>30</v>
      </c>
      <c r="E100" t="s">
        <v>12</v>
      </c>
      <c r="F100" t="s">
        <v>17</v>
      </c>
      <c r="G100">
        <v>6</v>
      </c>
      <c r="H100" s="3">
        <v>3040000</v>
      </c>
      <c r="I100" s="4">
        <v>0.05</v>
      </c>
      <c r="J100" s="3">
        <f t="shared" si="1"/>
        <v>17328000</v>
      </c>
      <c r="K100" t="str">
        <f>VLOOKUP(MONTH(B100),Master!G:H,2,0)</f>
        <v>Agustus</v>
      </c>
    </row>
    <row r="101" spans="1:11" x14ac:dyDescent="0.25">
      <c r="A101">
        <v>100</v>
      </c>
      <c r="B101" s="2">
        <v>46273</v>
      </c>
      <c r="C101" t="s">
        <v>10</v>
      </c>
      <c r="D101" t="s">
        <v>34</v>
      </c>
      <c r="E101" t="s">
        <v>23</v>
      </c>
      <c r="F101" t="s">
        <v>28</v>
      </c>
      <c r="G101">
        <v>8</v>
      </c>
      <c r="H101" s="3">
        <v>1800000</v>
      </c>
      <c r="I101" s="4">
        <v>0.05</v>
      </c>
      <c r="J101" s="3">
        <f t="shared" si="1"/>
        <v>13680000</v>
      </c>
      <c r="K101" t="str">
        <f>VLOOKUP(MONTH(B101),Master!G:H,2,0)</f>
        <v>September</v>
      </c>
    </row>
  </sheetData>
  <autoFilter ref="A1:J101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Master</vt:lpstr>
      <vt:lpstr>Calculation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Holil aurohman</cp:lastModifiedBy>
  <dcterms:created xsi:type="dcterms:W3CDTF">2026-10-01T06:04:14Z</dcterms:created>
  <dcterms:modified xsi:type="dcterms:W3CDTF">2026-10-01T15:42:05Z</dcterms:modified>
</cp:coreProperties>
</file>